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e Heather\Downloads\"/>
    </mc:Choice>
  </mc:AlternateContent>
  <xr:revisionPtr revIDLastSave="0" documentId="8_{2EB07906-18F0-4D88-963B-809233182C27}" xr6:coauthVersionLast="47" xr6:coauthVersionMax="47" xr10:uidLastSave="{00000000-0000-0000-0000-000000000000}"/>
  <bookViews>
    <workbookView xWindow="11250" yWindow="0" windowWidth="11250" windowHeight="14400" xr2:uid="{A2E53180-6435-4106-A253-C3861F66C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24" i="1" l="1"/>
  <c r="N124" i="1"/>
  <c r="O124" i="1"/>
  <c r="P124" i="1"/>
  <c r="Q124" i="1"/>
  <c r="R124" i="1"/>
  <c r="S124" i="1"/>
  <c r="L124" i="1"/>
  <c r="B152" i="1"/>
  <c r="M123" i="1"/>
  <c r="N123" i="1"/>
  <c r="O123" i="1"/>
  <c r="P123" i="1"/>
  <c r="Q123" i="1"/>
  <c r="R123" i="1"/>
  <c r="S123" i="1"/>
  <c r="L123" i="1"/>
  <c r="B142" i="1"/>
  <c r="M117" i="1"/>
  <c r="N117" i="1"/>
  <c r="O117" i="1"/>
  <c r="P117" i="1"/>
  <c r="Q117" i="1"/>
  <c r="R117" i="1"/>
  <c r="S117" i="1"/>
  <c r="L117" i="1"/>
  <c r="B131" i="1"/>
  <c r="M116" i="1"/>
  <c r="N116" i="1"/>
  <c r="O116" i="1"/>
  <c r="P116" i="1"/>
  <c r="Q116" i="1"/>
  <c r="R116" i="1"/>
  <c r="S116" i="1"/>
  <c r="L116" i="1"/>
  <c r="B121" i="1"/>
  <c r="H153" i="1"/>
  <c r="G153" i="1"/>
  <c r="F153" i="1"/>
  <c r="E153" i="1"/>
  <c r="D153" i="1"/>
  <c r="C153" i="1"/>
  <c r="B153" i="1"/>
  <c r="H152" i="1"/>
  <c r="G152" i="1"/>
  <c r="F152" i="1"/>
  <c r="E152" i="1"/>
  <c r="D152" i="1"/>
  <c r="C152" i="1"/>
  <c r="I151" i="1"/>
  <c r="I150" i="1"/>
  <c r="I149" i="1"/>
  <c r="I148" i="1"/>
  <c r="I147" i="1"/>
  <c r="H143" i="1"/>
  <c r="G143" i="1"/>
  <c r="F143" i="1"/>
  <c r="E143" i="1"/>
  <c r="D143" i="1"/>
  <c r="C143" i="1"/>
  <c r="B143" i="1"/>
  <c r="H142" i="1"/>
  <c r="G142" i="1"/>
  <c r="F142" i="1"/>
  <c r="E142" i="1"/>
  <c r="D142" i="1"/>
  <c r="C142" i="1"/>
  <c r="I141" i="1"/>
  <c r="I140" i="1"/>
  <c r="I139" i="1"/>
  <c r="I138" i="1"/>
  <c r="I137" i="1"/>
  <c r="C132" i="1"/>
  <c r="D132" i="1"/>
  <c r="E132" i="1"/>
  <c r="F132" i="1"/>
  <c r="G132" i="1"/>
  <c r="H132" i="1"/>
  <c r="I132" i="1"/>
  <c r="C131" i="1"/>
  <c r="D131" i="1"/>
  <c r="E131" i="1"/>
  <c r="F131" i="1"/>
  <c r="G131" i="1"/>
  <c r="H131" i="1"/>
  <c r="I131" i="1"/>
  <c r="B132" i="1"/>
  <c r="B122" i="1"/>
  <c r="C122" i="1"/>
  <c r="D122" i="1"/>
  <c r="E122" i="1"/>
  <c r="F122" i="1"/>
  <c r="G122" i="1"/>
  <c r="H122" i="1"/>
  <c r="I122" i="1"/>
  <c r="C121" i="1"/>
  <c r="D121" i="1"/>
  <c r="E121" i="1"/>
  <c r="F121" i="1"/>
  <c r="G121" i="1"/>
  <c r="H121" i="1"/>
  <c r="I121" i="1"/>
  <c r="I130" i="1"/>
  <c r="I129" i="1"/>
  <c r="I128" i="1"/>
  <c r="I127" i="1"/>
  <c r="I126" i="1"/>
  <c r="I118" i="1"/>
  <c r="I119" i="1"/>
  <c r="I120" i="1"/>
  <c r="I117" i="1"/>
  <c r="I116" i="1"/>
  <c r="W26" i="1"/>
  <c r="X26" i="1"/>
  <c r="Y26" i="1"/>
  <c r="Z26" i="1"/>
  <c r="AA26" i="1"/>
  <c r="AB26" i="1"/>
  <c r="W25" i="1"/>
  <c r="X25" i="1"/>
  <c r="Y25" i="1"/>
  <c r="Z25" i="1"/>
  <c r="AA25" i="1"/>
  <c r="AB25" i="1"/>
  <c r="W24" i="1"/>
  <c r="X24" i="1"/>
  <c r="Y24" i="1"/>
  <c r="Z24" i="1"/>
  <c r="AA24" i="1"/>
  <c r="AB24" i="1"/>
  <c r="W19" i="1"/>
  <c r="X19" i="1"/>
  <c r="Y19" i="1"/>
  <c r="Z19" i="1"/>
  <c r="AA19" i="1"/>
  <c r="AB19" i="1"/>
  <c r="W18" i="1"/>
  <c r="X18" i="1"/>
  <c r="Y18" i="1"/>
  <c r="Z18" i="1"/>
  <c r="AA18" i="1"/>
  <c r="AB18" i="1"/>
  <c r="W17" i="1"/>
  <c r="X17" i="1"/>
  <c r="Y17" i="1"/>
  <c r="Z17" i="1"/>
  <c r="AA17" i="1"/>
  <c r="AB17" i="1"/>
  <c r="W12" i="1"/>
  <c r="X12" i="1"/>
  <c r="Y12" i="1"/>
  <c r="Z12" i="1"/>
  <c r="AA12" i="1"/>
  <c r="AB12" i="1"/>
  <c r="W11" i="1"/>
  <c r="X11" i="1"/>
  <c r="Y11" i="1"/>
  <c r="Z11" i="1"/>
  <c r="AA11" i="1"/>
  <c r="AB11" i="1"/>
  <c r="W10" i="1"/>
  <c r="X10" i="1"/>
  <c r="Y10" i="1"/>
  <c r="Z10" i="1"/>
  <c r="AA10" i="1"/>
  <c r="AB10" i="1"/>
  <c r="W5" i="1"/>
  <c r="X5" i="1"/>
  <c r="Y5" i="1"/>
  <c r="Z5" i="1"/>
  <c r="AA5" i="1"/>
  <c r="AB5" i="1"/>
  <c r="W4" i="1"/>
  <c r="X4" i="1"/>
  <c r="Y4" i="1"/>
  <c r="Z4" i="1"/>
  <c r="AA4" i="1"/>
  <c r="AB4" i="1"/>
  <c r="V26" i="1"/>
  <c r="B101" i="1"/>
  <c r="V25" i="1"/>
  <c r="B93" i="1"/>
  <c r="V24" i="1"/>
  <c r="B85" i="1"/>
  <c r="V19" i="1"/>
  <c r="B75" i="1"/>
  <c r="V18" i="1"/>
  <c r="B67" i="1"/>
  <c r="V17" i="1"/>
  <c r="B59" i="1"/>
  <c r="V12" i="1"/>
  <c r="B49" i="1"/>
  <c r="V11" i="1"/>
  <c r="B41" i="1"/>
  <c r="V10" i="1"/>
  <c r="B33" i="1"/>
  <c r="V5" i="1"/>
  <c r="B23" i="1"/>
  <c r="V4" i="1"/>
  <c r="B15" i="1"/>
  <c r="W3" i="1"/>
  <c r="X3" i="1"/>
  <c r="Y3" i="1"/>
  <c r="Z3" i="1"/>
  <c r="AA3" i="1"/>
  <c r="AB3" i="1"/>
  <c r="V3" i="1"/>
  <c r="B7" i="1"/>
  <c r="B92" i="1"/>
  <c r="M26" i="1"/>
  <c r="N26" i="1"/>
  <c r="O26" i="1"/>
  <c r="P26" i="1"/>
  <c r="Q26" i="1"/>
  <c r="R26" i="1"/>
  <c r="M25" i="1"/>
  <c r="N25" i="1"/>
  <c r="O25" i="1"/>
  <c r="P25" i="1"/>
  <c r="Q25" i="1"/>
  <c r="R25" i="1"/>
  <c r="M24" i="1"/>
  <c r="N24" i="1"/>
  <c r="O24" i="1"/>
  <c r="P24" i="1"/>
  <c r="Q24" i="1"/>
  <c r="R24" i="1"/>
  <c r="L26" i="1"/>
  <c r="B100" i="1"/>
  <c r="L25" i="1"/>
  <c r="L24" i="1"/>
  <c r="B84" i="1"/>
  <c r="M19" i="1"/>
  <c r="N19" i="1"/>
  <c r="O19" i="1"/>
  <c r="P19" i="1"/>
  <c r="Q19" i="1"/>
  <c r="R19" i="1"/>
  <c r="M18" i="1"/>
  <c r="N18" i="1"/>
  <c r="O18" i="1"/>
  <c r="P18" i="1"/>
  <c r="Q18" i="1"/>
  <c r="R18" i="1"/>
  <c r="L19" i="1"/>
  <c r="B74" i="1"/>
  <c r="L18" i="1"/>
  <c r="B66" i="1"/>
  <c r="M17" i="1"/>
  <c r="N17" i="1"/>
  <c r="O17" i="1"/>
  <c r="P17" i="1"/>
  <c r="Q17" i="1"/>
  <c r="R17" i="1"/>
  <c r="L17" i="1"/>
  <c r="B58" i="1"/>
  <c r="M12" i="1"/>
  <c r="N12" i="1"/>
  <c r="O12" i="1"/>
  <c r="P12" i="1"/>
  <c r="Q12" i="1"/>
  <c r="R12" i="1"/>
  <c r="L12" i="1"/>
  <c r="B48" i="1"/>
  <c r="M11" i="1"/>
  <c r="N11" i="1"/>
  <c r="O11" i="1"/>
  <c r="P11" i="1"/>
  <c r="Q11" i="1"/>
  <c r="R11" i="1"/>
  <c r="L11" i="1"/>
  <c r="B40" i="1"/>
  <c r="M10" i="1"/>
  <c r="N10" i="1"/>
  <c r="O10" i="1"/>
  <c r="P10" i="1"/>
  <c r="Q10" i="1"/>
  <c r="R10" i="1"/>
  <c r="L10" i="1"/>
  <c r="B32" i="1"/>
  <c r="L3" i="1"/>
  <c r="M3" i="1"/>
  <c r="N3" i="1"/>
  <c r="O3" i="1"/>
  <c r="P3" i="1"/>
  <c r="Q3" i="1"/>
  <c r="R3" i="1"/>
  <c r="B6" i="1"/>
  <c r="C7" i="1"/>
  <c r="D7" i="1"/>
  <c r="E7" i="1"/>
  <c r="F7" i="1"/>
  <c r="G7" i="1"/>
  <c r="H7" i="1"/>
  <c r="C6" i="1"/>
  <c r="D6" i="1"/>
  <c r="E6" i="1"/>
  <c r="F6" i="1"/>
  <c r="G6" i="1"/>
  <c r="H6" i="1"/>
  <c r="M4" i="1"/>
  <c r="N4" i="1"/>
  <c r="O4" i="1"/>
  <c r="P4" i="1"/>
  <c r="Q4" i="1"/>
  <c r="R4" i="1"/>
  <c r="L4" i="1"/>
  <c r="M5" i="1"/>
  <c r="N5" i="1"/>
  <c r="O5" i="1"/>
  <c r="P5" i="1"/>
  <c r="Q5" i="1"/>
  <c r="R5" i="1"/>
  <c r="L5" i="1"/>
  <c r="B22" i="1"/>
  <c r="C23" i="1"/>
  <c r="D23" i="1"/>
  <c r="E23" i="1"/>
  <c r="F23" i="1"/>
  <c r="G23" i="1"/>
  <c r="H23" i="1"/>
  <c r="C22" i="1"/>
  <c r="D22" i="1"/>
  <c r="E22" i="1"/>
  <c r="F22" i="1"/>
  <c r="G22" i="1"/>
  <c r="H22" i="1"/>
  <c r="B14" i="1"/>
  <c r="C15" i="1"/>
  <c r="D15" i="1"/>
  <c r="E15" i="1"/>
  <c r="F15" i="1"/>
  <c r="G15" i="1"/>
  <c r="H15" i="1"/>
  <c r="C14" i="1"/>
  <c r="D14" i="1"/>
  <c r="E14" i="1"/>
  <c r="F14" i="1"/>
  <c r="G14" i="1"/>
  <c r="H14" i="1"/>
  <c r="H101" i="1"/>
  <c r="G101" i="1"/>
  <c r="F101" i="1"/>
  <c r="E101" i="1"/>
  <c r="D101" i="1"/>
  <c r="C101" i="1"/>
  <c r="H100" i="1"/>
  <c r="G100" i="1"/>
  <c r="F100" i="1"/>
  <c r="E100" i="1"/>
  <c r="D100" i="1"/>
  <c r="C100" i="1"/>
  <c r="I99" i="1"/>
  <c r="I98" i="1"/>
  <c r="I97" i="1"/>
  <c r="S26" i="1" s="1"/>
  <c r="H93" i="1"/>
  <c r="G93" i="1"/>
  <c r="F93" i="1"/>
  <c r="E93" i="1"/>
  <c r="D93" i="1"/>
  <c r="C93" i="1"/>
  <c r="H92" i="1"/>
  <c r="G92" i="1"/>
  <c r="F92" i="1"/>
  <c r="E92" i="1"/>
  <c r="D92" i="1"/>
  <c r="C92" i="1"/>
  <c r="I91" i="1"/>
  <c r="I90" i="1"/>
  <c r="I89" i="1"/>
  <c r="AC25" i="1" s="1"/>
  <c r="H85" i="1"/>
  <c r="G85" i="1"/>
  <c r="F85" i="1"/>
  <c r="E85" i="1"/>
  <c r="D85" i="1"/>
  <c r="C85" i="1"/>
  <c r="H84" i="1"/>
  <c r="G84" i="1"/>
  <c r="F84" i="1"/>
  <c r="E84" i="1"/>
  <c r="D84" i="1"/>
  <c r="C84" i="1"/>
  <c r="I83" i="1"/>
  <c r="I82" i="1"/>
  <c r="I81" i="1"/>
  <c r="S24" i="1" s="1"/>
  <c r="H75" i="1"/>
  <c r="G75" i="1"/>
  <c r="F75" i="1"/>
  <c r="E75" i="1"/>
  <c r="D75" i="1"/>
  <c r="C75" i="1"/>
  <c r="H74" i="1"/>
  <c r="G74" i="1"/>
  <c r="F74" i="1"/>
  <c r="E74" i="1"/>
  <c r="D74" i="1"/>
  <c r="C74" i="1"/>
  <c r="I73" i="1"/>
  <c r="I72" i="1"/>
  <c r="I71" i="1"/>
  <c r="H67" i="1"/>
  <c r="G67" i="1"/>
  <c r="F67" i="1"/>
  <c r="E67" i="1"/>
  <c r="D67" i="1"/>
  <c r="C67" i="1"/>
  <c r="H66" i="1"/>
  <c r="G66" i="1"/>
  <c r="F66" i="1"/>
  <c r="E66" i="1"/>
  <c r="D66" i="1"/>
  <c r="C66" i="1"/>
  <c r="I65" i="1"/>
  <c r="I64" i="1"/>
  <c r="I63" i="1"/>
  <c r="H59" i="1"/>
  <c r="G59" i="1"/>
  <c r="F59" i="1"/>
  <c r="E59" i="1"/>
  <c r="D59" i="1"/>
  <c r="C59" i="1"/>
  <c r="H58" i="1"/>
  <c r="G58" i="1"/>
  <c r="F58" i="1"/>
  <c r="E58" i="1"/>
  <c r="D58" i="1"/>
  <c r="C58" i="1"/>
  <c r="I57" i="1"/>
  <c r="I56" i="1"/>
  <c r="I55" i="1"/>
  <c r="S17" i="1" s="1"/>
  <c r="H49" i="1"/>
  <c r="G49" i="1"/>
  <c r="F49" i="1"/>
  <c r="E49" i="1"/>
  <c r="D49" i="1"/>
  <c r="C49" i="1"/>
  <c r="H48" i="1"/>
  <c r="G48" i="1"/>
  <c r="F48" i="1"/>
  <c r="E48" i="1"/>
  <c r="D48" i="1"/>
  <c r="C48" i="1"/>
  <c r="I47" i="1"/>
  <c r="I46" i="1"/>
  <c r="I45" i="1"/>
  <c r="H41" i="1"/>
  <c r="G41" i="1"/>
  <c r="F41" i="1"/>
  <c r="E41" i="1"/>
  <c r="D41" i="1"/>
  <c r="C41" i="1"/>
  <c r="H40" i="1"/>
  <c r="G40" i="1"/>
  <c r="F40" i="1"/>
  <c r="E40" i="1"/>
  <c r="D40" i="1"/>
  <c r="C40" i="1"/>
  <c r="I39" i="1"/>
  <c r="I38" i="1"/>
  <c r="I37" i="1"/>
  <c r="H33" i="1"/>
  <c r="G33" i="1"/>
  <c r="F33" i="1"/>
  <c r="E33" i="1"/>
  <c r="D33" i="1"/>
  <c r="C33" i="1"/>
  <c r="H32" i="1"/>
  <c r="G32" i="1"/>
  <c r="F32" i="1"/>
  <c r="E32" i="1"/>
  <c r="D32" i="1"/>
  <c r="C32" i="1"/>
  <c r="I31" i="1"/>
  <c r="I30" i="1"/>
  <c r="I29" i="1"/>
  <c r="I13" i="1"/>
  <c r="I12" i="1"/>
  <c r="I11" i="1"/>
  <c r="AC4" i="1" s="1"/>
  <c r="I21" i="1"/>
  <c r="I20" i="1"/>
  <c r="I19" i="1"/>
  <c r="AC5" i="1" s="1"/>
  <c r="I5" i="1"/>
  <c r="I4" i="1"/>
  <c r="S3" i="1" s="1"/>
  <c r="I3" i="1"/>
  <c r="I153" i="1" l="1"/>
  <c r="I143" i="1"/>
  <c r="I142" i="1"/>
  <c r="I152" i="1"/>
  <c r="AC10" i="1"/>
  <c r="AC26" i="1"/>
  <c r="AC11" i="1"/>
  <c r="S19" i="1"/>
  <c r="S5" i="1"/>
  <c r="AC18" i="1"/>
  <c r="AC19" i="1"/>
  <c r="AC24" i="1"/>
  <c r="AC12" i="1"/>
  <c r="I7" i="1"/>
  <c r="S11" i="1"/>
  <c r="I6" i="1"/>
  <c r="S4" i="1"/>
  <c r="S18" i="1"/>
  <c r="I23" i="1"/>
  <c r="I15" i="1"/>
  <c r="I22" i="1"/>
  <c r="S10" i="1"/>
  <c r="S25" i="1"/>
  <c r="I14" i="1"/>
  <c r="AC3" i="1"/>
  <c r="AC17" i="1"/>
  <c r="S12" i="1"/>
  <c r="I100" i="1"/>
  <c r="I93" i="1"/>
  <c r="I84" i="1"/>
  <c r="I101" i="1"/>
  <c r="I85" i="1"/>
  <c r="I92" i="1"/>
  <c r="I75" i="1"/>
  <c r="I74" i="1"/>
  <c r="I66" i="1"/>
  <c r="I58" i="1"/>
  <c r="I59" i="1"/>
  <c r="I67" i="1"/>
  <c r="I49" i="1"/>
  <c r="I41" i="1"/>
  <c r="I32" i="1"/>
  <c r="I33" i="1"/>
  <c r="I40" i="1"/>
  <c r="I48" i="1"/>
</calcChain>
</file>

<file path=xl/sharedStrings.xml><?xml version="1.0" encoding="utf-8"?>
<sst xmlns="http://schemas.openxmlformats.org/spreadsheetml/2006/main" count="293" uniqueCount="39">
  <si>
    <t>Run</t>
  </si>
  <si>
    <t>Per</t>
  </si>
  <si>
    <t>Phase 2 - Level 1 - Run 1</t>
  </si>
  <si>
    <t>Rec</t>
  </si>
  <si>
    <t>Reg</t>
  </si>
  <si>
    <t>DB</t>
  </si>
  <si>
    <t>Auth</t>
  </si>
  <si>
    <t>Img</t>
  </si>
  <si>
    <t>WebUI</t>
  </si>
  <si>
    <t>Total</t>
  </si>
  <si>
    <t>AVG</t>
  </si>
  <si>
    <t>STD</t>
  </si>
  <si>
    <t>Phase 2 - Level 1 - Run 2</t>
  </si>
  <si>
    <t>Phase 2 - Level 1 - Run 3</t>
  </si>
  <si>
    <t>Minute</t>
  </si>
  <si>
    <t>Phase 2 - Level 2 - Run 1</t>
  </si>
  <si>
    <t>Phase 2 - Level 2 - Run 2</t>
  </si>
  <si>
    <t>Phase 2 - Level 2 - Run 3</t>
  </si>
  <si>
    <t>1,82</t>
  </si>
  <si>
    <t>Phase 2 - Level 3 - Run 1</t>
  </si>
  <si>
    <t>Phase 2 - Level 3 - Run 2</t>
  </si>
  <si>
    <t>Phase 2 - Level 3 - Run 3</t>
  </si>
  <si>
    <t>Phase 2 - Level 4 - Run 1</t>
  </si>
  <si>
    <t>Phase 2 - Level 4 - Run 2</t>
  </si>
  <si>
    <t>Phase 2 - Level 4 - Run 3</t>
  </si>
  <si>
    <t>Phase 2 - Level 2 Averages</t>
  </si>
  <si>
    <t>Phase 2 - Level 1 Averages</t>
  </si>
  <si>
    <t>Phase 2 - Level 3 Averages</t>
  </si>
  <si>
    <t>Phase 2 - Level 4 Averages</t>
  </si>
  <si>
    <t>Phase 2 - Level 1 STD</t>
  </si>
  <si>
    <t>Phase 2 - Level 2 STD</t>
  </si>
  <si>
    <t>Phase 2 - Level 3 STD</t>
  </si>
  <si>
    <t>Phase 2 - Level 4 STD</t>
  </si>
  <si>
    <t>Phase 1 - Level 1 - Run 1</t>
  </si>
  <si>
    <t>Phase 1 - Level 1 - Run 2</t>
  </si>
  <si>
    <t>Phase 1 - Level 1 Averages</t>
  </si>
  <si>
    <t>Phase 1 - Level 2 Averages</t>
  </si>
  <si>
    <t>Phase 1 - Level 2 - Run 1</t>
  </si>
  <si>
    <t>Phase 1 - Level 2 - Run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</si>
</sst>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Persistance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Sheet1!$L$17:$L$19</c:f>
              <c:numCache>
                <c:formatCode>0.00</c:formatCode>
                <c:ptCount val="3"/>
                <c:pt idx="0">
                  <c:v>20.356666666666666</c:v>
                </c:pt>
                <c:pt idx="1">
                  <c:v>17.566666666666666</c:v>
                </c:pt>
                <c:pt idx="2">
                  <c:v>14.523333333333333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6-4677-9440-27A813F2346D}"/>
            </c:ext>
          </c:extLst>
        </c:ser>
        <c:ser>
          <c:idx val="1"/>
          <c:order val="1"/>
          <c:tx>
            <c:v>Recomender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Sheet1!$M$17:$M$19</c:f>
              <c:numCache>
                <c:formatCode>0.00</c:formatCode>
                <c:ptCount val="3"/>
                <c:pt idx="0">
                  <c:v>5.88</c:v>
                </c:pt>
                <c:pt idx="1">
                  <c:v>8.7566666666666677</c:v>
                </c:pt>
                <c:pt idx="2">
                  <c:v>6.19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26-4677-9440-27A813F2346D}"/>
            </c:ext>
          </c:extLst>
        </c:ser>
        <c:ser>
          <c:idx val="2"/>
          <c:order val="2"/>
          <c:tx>
            <c:v>Registery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Sheet1!$N$17:$N$19</c:f>
              <c:numCache>
                <c:formatCode>0.00</c:formatCode>
                <c:ptCount val="3"/>
                <c:pt idx="0">
                  <c:v>1.4733333333333334</c:v>
                </c:pt>
                <c:pt idx="1">
                  <c:v>4.6866666666666665</c:v>
                </c:pt>
                <c:pt idx="2">
                  <c:v>12.973333333333334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26-4677-9440-27A813F2346D}"/>
            </c:ext>
          </c:extLst>
        </c:ser>
        <c:ser>
          <c:idx val="3"/>
          <c:order val="3"/>
          <c:tx>
            <c:v>DB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Sheet1!$O$17:$O$19</c:f>
              <c:numCache>
                <c:formatCode>0.00</c:formatCode>
                <c:ptCount val="3"/>
                <c:pt idx="0">
                  <c:v>1.6266666666666667</c:v>
                </c:pt>
                <c:pt idx="1">
                  <c:v>1.1866666666666668</c:v>
                </c:pt>
                <c:pt idx="2">
                  <c:v>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26-4677-9440-27A813F2346D}"/>
            </c:ext>
          </c:extLst>
        </c:ser>
        <c:ser>
          <c:idx val="4"/>
          <c:order val="4"/>
          <c:tx>
            <c:v>Authentication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Sheet1!$P$17:$P$19</c:f>
              <c:numCache>
                <c:formatCode>0.00</c:formatCode>
                <c:ptCount val="3"/>
                <c:pt idx="0">
                  <c:v>14.58</c:v>
                </c:pt>
                <c:pt idx="1">
                  <c:v>16.673333333333332</c:v>
                </c:pt>
                <c:pt idx="2">
                  <c:v>17.13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26-4677-9440-27A813F2346D}"/>
            </c:ext>
          </c:extLst>
        </c:ser>
        <c:ser>
          <c:idx val="5"/>
          <c:order val="5"/>
          <c:tx>
            <c:v>Image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Sheet1!$Q$17:$Q$19</c:f>
              <c:numCache>
                <c:formatCode>0.00</c:formatCode>
                <c:ptCount val="3"/>
                <c:pt idx="0">
                  <c:v>13.616666666666667</c:v>
                </c:pt>
                <c:pt idx="1">
                  <c:v>9.4933333333333341</c:v>
                </c:pt>
                <c:pt idx="2">
                  <c:v>12.31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26-4677-9440-27A813F2346D}"/>
            </c:ext>
          </c:extLst>
        </c:ser>
        <c:ser>
          <c:idx val="6"/>
          <c:order val="6"/>
          <c:tx>
            <c:v>WebUI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Sheet1!$R$17:$R$19</c:f>
              <c:numCache>
                <c:formatCode>0.00</c:formatCode>
                <c:ptCount val="3"/>
                <c:pt idx="0">
                  <c:v>54.086666666666673</c:v>
                </c:pt>
                <c:pt idx="1">
                  <c:v>47.286666666666669</c:v>
                </c:pt>
                <c:pt idx="2">
                  <c:v>33.533333333333331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26-4677-9440-27A813F2346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5301551"/>
        <c:axId val="615285231"/>
      </c:barChart>
      <c:catAx>
        <c:axId val="61530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85231"/>
        <c:crosses val="autoZero"/>
        <c:auto val="1"/>
        <c:lblAlgn val="ctr"/>
        <c:lblOffset val="100"/>
        <c:noMultiLvlLbl val="0"/>
      </c:catAx>
      <c:valAx>
        <c:axId val="6152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CPU</a:t>
                </a:r>
                <a:r>
                  <a:rPr lang="en-CA" baseline="0"/>
                  <a:t> Utilization (%)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015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Persistance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Sheet1!$L$3:$L$5</c:f>
              <c:numCache>
                <c:formatCode>0.00</c:formatCode>
                <c:ptCount val="3"/>
                <c:pt idx="0">
                  <c:v>26.296666666666667</c:v>
                </c:pt>
                <c:pt idx="1">
                  <c:v>17.849999999999998</c:v>
                </c:pt>
                <c:pt idx="2">
                  <c:v>18.373333333333335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C-48D3-9953-64659FCA3BD2}"/>
            </c:ext>
          </c:extLst>
        </c:ser>
        <c:ser>
          <c:idx val="1"/>
          <c:order val="1"/>
          <c:tx>
            <c:v>Recomender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Sheet1!$M$3:$M$5</c:f>
              <c:numCache>
                <c:formatCode>0.00</c:formatCode>
                <c:ptCount val="3"/>
                <c:pt idx="0">
                  <c:v>7.543333333333333</c:v>
                </c:pt>
                <c:pt idx="1">
                  <c:v>5.3866666666666667</c:v>
                </c:pt>
                <c:pt idx="2">
                  <c:v>12.216666666666667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2C-48D3-9953-64659FCA3BD2}"/>
            </c:ext>
          </c:extLst>
        </c:ser>
        <c:ser>
          <c:idx val="2"/>
          <c:order val="2"/>
          <c:tx>
            <c:v>Registery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Sheet1!$N$3:$N$5</c:f>
              <c:numCache>
                <c:formatCode>0.00</c:formatCode>
                <c:ptCount val="3"/>
                <c:pt idx="0">
                  <c:v>2.8533333333333335</c:v>
                </c:pt>
                <c:pt idx="1">
                  <c:v>1.26</c:v>
                </c:pt>
                <c:pt idx="2">
                  <c:v>0.8933333333333332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2C-48D3-9953-64659FCA3BD2}"/>
            </c:ext>
          </c:extLst>
        </c:ser>
        <c:ser>
          <c:idx val="3"/>
          <c:order val="3"/>
          <c:tx>
            <c:v>DB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Sheet1!$O$3:$O$5</c:f>
              <c:numCache>
                <c:formatCode>0.00</c:formatCode>
                <c:ptCount val="3"/>
                <c:pt idx="0">
                  <c:v>0.73</c:v>
                </c:pt>
                <c:pt idx="1">
                  <c:v>0.83333333333333337</c:v>
                </c:pt>
                <c:pt idx="2">
                  <c:v>1.4000000000000001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2C-48D3-9953-64659FCA3BD2}"/>
            </c:ext>
          </c:extLst>
        </c:ser>
        <c:ser>
          <c:idx val="4"/>
          <c:order val="4"/>
          <c:tx>
            <c:v>Authentication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Sheet1!$P$3:$P$5</c:f>
              <c:numCache>
                <c:formatCode>0.00</c:formatCode>
                <c:ptCount val="3"/>
                <c:pt idx="0">
                  <c:v>11.273333333333333</c:v>
                </c:pt>
                <c:pt idx="1">
                  <c:v>11.963333333333333</c:v>
                </c:pt>
                <c:pt idx="2">
                  <c:v>15.413333333333332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2C-48D3-9953-64659FCA3BD2}"/>
            </c:ext>
          </c:extLst>
        </c:ser>
        <c:ser>
          <c:idx val="5"/>
          <c:order val="5"/>
          <c:tx>
            <c:v>Image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Sheet1!$Q$3:$Q$5</c:f>
              <c:numCache>
                <c:formatCode>0.00</c:formatCode>
                <c:ptCount val="3"/>
                <c:pt idx="0">
                  <c:v>16.73</c:v>
                </c:pt>
                <c:pt idx="1">
                  <c:v>10.836666666666666</c:v>
                </c:pt>
                <c:pt idx="2">
                  <c:v>21.36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2C-48D3-9953-64659FCA3BD2}"/>
            </c:ext>
          </c:extLst>
        </c:ser>
        <c:ser>
          <c:idx val="6"/>
          <c:order val="6"/>
          <c:tx>
            <c:v>WebUI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Sheet1!$R$3:$R$5</c:f>
              <c:numCache>
                <c:formatCode>0.00</c:formatCode>
                <c:ptCount val="3"/>
                <c:pt idx="0">
                  <c:v>48.486666666666657</c:v>
                </c:pt>
                <c:pt idx="1">
                  <c:v>53.786666666666669</c:v>
                </c:pt>
                <c:pt idx="2">
                  <c:v>52.44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2C-48D3-9953-64659FCA3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5301551"/>
        <c:axId val="615285231"/>
      </c:barChart>
      <c:catAx>
        <c:axId val="61530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85231"/>
        <c:crosses val="autoZero"/>
        <c:auto val="1"/>
        <c:lblAlgn val="ctr"/>
        <c:lblOffset val="100"/>
        <c:noMultiLvlLbl val="0"/>
      </c:catAx>
      <c:valAx>
        <c:axId val="6152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CPU</a:t>
                </a:r>
                <a:r>
                  <a:rPr lang="en-CA" baseline="0"/>
                  <a:t> Utilization (%)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015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Persistance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Sheet1!$L$10:$L$12</c:f>
              <c:numCache>
                <c:formatCode>0.00</c:formatCode>
                <c:ptCount val="3"/>
                <c:pt idx="0">
                  <c:v>17.483333333333334</c:v>
                </c:pt>
                <c:pt idx="1">
                  <c:v>12.256666666666668</c:v>
                </c:pt>
                <c:pt idx="2">
                  <c:v>18.373333333333335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B-40FE-A843-C85E651E248D}"/>
            </c:ext>
          </c:extLst>
        </c:ser>
        <c:ser>
          <c:idx val="1"/>
          <c:order val="1"/>
          <c:tx>
            <c:v>Recomender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Sheet1!$M$10:$M$12</c:f>
              <c:numCache>
                <c:formatCode>0.00</c:formatCode>
                <c:ptCount val="3"/>
                <c:pt idx="0">
                  <c:v>7.7600000000000007</c:v>
                </c:pt>
                <c:pt idx="1">
                  <c:v>5.919999999999999</c:v>
                </c:pt>
                <c:pt idx="2">
                  <c:v>12.15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B-40FE-A843-C85E651E248D}"/>
            </c:ext>
          </c:extLst>
        </c:ser>
        <c:ser>
          <c:idx val="2"/>
          <c:order val="2"/>
          <c:tx>
            <c:v>Registery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Sheet1!$N$10:$N$12</c:f>
              <c:numCache>
                <c:formatCode>0.00</c:formatCode>
                <c:ptCount val="3"/>
                <c:pt idx="0">
                  <c:v>2.2600000000000002</c:v>
                </c:pt>
                <c:pt idx="1">
                  <c:v>12.813333333333334</c:v>
                </c:pt>
                <c:pt idx="2">
                  <c:v>0.8933333333333332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EB-40FE-A843-C85E651E248D}"/>
            </c:ext>
          </c:extLst>
        </c:ser>
        <c:ser>
          <c:idx val="3"/>
          <c:order val="3"/>
          <c:tx>
            <c:v>DB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Sheet1!$O$10:$O$12</c:f>
              <c:numCache>
                <c:formatCode>0.00</c:formatCode>
                <c:ptCount val="3"/>
                <c:pt idx="0">
                  <c:v>0.70000000000000007</c:v>
                </c:pt>
                <c:pt idx="1">
                  <c:v>27.279999999999998</c:v>
                </c:pt>
                <c:pt idx="2">
                  <c:v>1.4000000000000001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EB-40FE-A843-C85E651E248D}"/>
            </c:ext>
          </c:extLst>
        </c:ser>
        <c:ser>
          <c:idx val="4"/>
          <c:order val="4"/>
          <c:tx>
            <c:v>Authentication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Sheet1!$P$10:$P$12</c:f>
              <c:numCache>
                <c:formatCode>0.00</c:formatCode>
                <c:ptCount val="3"/>
                <c:pt idx="0">
                  <c:v>13.54</c:v>
                </c:pt>
                <c:pt idx="1">
                  <c:v>26.66</c:v>
                </c:pt>
                <c:pt idx="2">
                  <c:v>15.413333333333332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EB-40FE-A843-C85E651E248D}"/>
            </c:ext>
          </c:extLst>
        </c:ser>
        <c:ser>
          <c:idx val="5"/>
          <c:order val="5"/>
          <c:tx>
            <c:v>Image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Sheet1!$Q$10:$Q$12</c:f>
              <c:numCache>
                <c:formatCode>0.00</c:formatCode>
                <c:ptCount val="3"/>
                <c:pt idx="0">
                  <c:v>19.313333333333336</c:v>
                </c:pt>
                <c:pt idx="1">
                  <c:v>10.836666666666666</c:v>
                </c:pt>
                <c:pt idx="2">
                  <c:v>21.36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EB-40FE-A843-C85E651E248D}"/>
            </c:ext>
          </c:extLst>
        </c:ser>
        <c:ser>
          <c:idx val="6"/>
          <c:order val="6"/>
          <c:tx>
            <c:v>WebUI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Sheet1!$R$10:$R$12</c:f>
              <c:numCache>
                <c:formatCode>0.00</c:formatCode>
                <c:ptCount val="3"/>
                <c:pt idx="0">
                  <c:v>47.26</c:v>
                </c:pt>
                <c:pt idx="1">
                  <c:v>53.786666666666669</c:v>
                </c:pt>
                <c:pt idx="2">
                  <c:v>52.44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EB-40FE-A843-C85E651E2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5301551"/>
        <c:axId val="615285231"/>
      </c:barChart>
      <c:catAx>
        <c:axId val="61530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85231"/>
        <c:crosses val="autoZero"/>
        <c:auto val="1"/>
        <c:lblAlgn val="ctr"/>
        <c:lblOffset val="100"/>
        <c:noMultiLvlLbl val="0"/>
      </c:catAx>
      <c:valAx>
        <c:axId val="6152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CPU</a:t>
                </a:r>
                <a:r>
                  <a:rPr lang="en-CA" baseline="0"/>
                  <a:t> Utilization (%)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015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Persistance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Sheet1!$L$24:$L$26</c:f>
              <c:numCache>
                <c:formatCode>0.00</c:formatCode>
                <c:ptCount val="3"/>
                <c:pt idx="0">
                  <c:v>13.030000000000001</c:v>
                </c:pt>
                <c:pt idx="1">
                  <c:v>4.45</c:v>
                </c:pt>
                <c:pt idx="2">
                  <c:v>4.3833333333333337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F-4DB8-8F7A-C76E34972FB1}"/>
            </c:ext>
          </c:extLst>
        </c:ser>
        <c:ser>
          <c:idx val="1"/>
          <c:order val="1"/>
          <c:tx>
            <c:v>Recomender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Sheet1!$M$24:$M$26</c:f>
              <c:numCache>
                <c:formatCode>0.00</c:formatCode>
                <c:ptCount val="3"/>
                <c:pt idx="0">
                  <c:v>12.339999999999998</c:v>
                </c:pt>
                <c:pt idx="1">
                  <c:v>12.6</c:v>
                </c:pt>
                <c:pt idx="2">
                  <c:v>2.7833333333333337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3F-4DB8-8F7A-C76E34972FB1}"/>
            </c:ext>
          </c:extLst>
        </c:ser>
        <c:ser>
          <c:idx val="2"/>
          <c:order val="2"/>
          <c:tx>
            <c:v>Registery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Sheet1!$N$24:$N$26</c:f>
              <c:numCache>
                <c:formatCode>0.00</c:formatCode>
                <c:ptCount val="3"/>
                <c:pt idx="0">
                  <c:v>1.1199999999999999</c:v>
                </c:pt>
                <c:pt idx="1">
                  <c:v>1.1200000000000001</c:v>
                </c:pt>
                <c:pt idx="2">
                  <c:v>1.2333333333333334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F-4DB8-8F7A-C76E34972FB1}"/>
            </c:ext>
          </c:extLst>
        </c:ser>
        <c:ser>
          <c:idx val="3"/>
          <c:order val="3"/>
          <c:tx>
            <c:v>DB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Sheet1!$O$24:$O$26</c:f>
              <c:numCache>
                <c:formatCode>0.00</c:formatCode>
                <c:ptCount val="3"/>
                <c:pt idx="0">
                  <c:v>0.29333333333333333</c:v>
                </c:pt>
                <c:pt idx="1">
                  <c:v>0.28333333333333333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3F-4DB8-8F7A-C76E34972FB1}"/>
            </c:ext>
          </c:extLst>
        </c:ser>
        <c:ser>
          <c:idx val="4"/>
          <c:order val="4"/>
          <c:tx>
            <c:v>Authentication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Sheet1!$P$24:$P$26</c:f>
              <c:numCache>
                <c:formatCode>0.00</c:formatCode>
                <c:ptCount val="3"/>
                <c:pt idx="0">
                  <c:v>11.85</c:v>
                </c:pt>
                <c:pt idx="1">
                  <c:v>7.6566666666666663</c:v>
                </c:pt>
                <c:pt idx="2">
                  <c:v>6.5966666666666667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3F-4DB8-8F7A-C76E34972FB1}"/>
            </c:ext>
          </c:extLst>
        </c:ser>
        <c:ser>
          <c:idx val="5"/>
          <c:order val="5"/>
          <c:tx>
            <c:v>Image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Sheet1!$Q$24:$Q$26</c:f>
              <c:numCache>
                <c:formatCode>0.00</c:formatCode>
                <c:ptCount val="3"/>
                <c:pt idx="0">
                  <c:v>21.446666666666669</c:v>
                </c:pt>
                <c:pt idx="1">
                  <c:v>5.4766666666666666</c:v>
                </c:pt>
                <c:pt idx="2">
                  <c:v>4.9399999999999995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3F-4DB8-8F7A-C76E34972FB1}"/>
            </c:ext>
          </c:extLst>
        </c:ser>
        <c:ser>
          <c:idx val="6"/>
          <c:order val="6"/>
          <c:tx>
            <c:v>WebUI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Sheet1!$R$24:$R$26</c:f>
              <c:numCache>
                <c:formatCode>0.00</c:formatCode>
                <c:ptCount val="3"/>
                <c:pt idx="0">
                  <c:v>25.473333333333333</c:v>
                </c:pt>
                <c:pt idx="1">
                  <c:v>20.786666666666665</c:v>
                </c:pt>
                <c:pt idx="2">
                  <c:v>18.559999999999999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3F-4DB8-8F7A-C76E34972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5301551"/>
        <c:axId val="615285231"/>
      </c:barChart>
      <c:catAx>
        <c:axId val="61530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85231"/>
        <c:crosses val="autoZero"/>
        <c:auto val="1"/>
        <c:lblAlgn val="ctr"/>
        <c:lblOffset val="100"/>
        <c:noMultiLvlLbl val="0"/>
      </c:catAx>
      <c:valAx>
        <c:axId val="6152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CPU</a:t>
                </a:r>
                <a:r>
                  <a:rPr lang="en-CA" baseline="0"/>
                  <a:t> Utilization (%)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015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Persistance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Sheet1!$L$116:$L$117</c:f>
              <c:numCache>
                <c:formatCode>0.00</c:formatCode>
                <c:ptCount val="2"/>
                <c:pt idx="0">
                  <c:v>9.1879999999999988</c:v>
                </c:pt>
                <c:pt idx="1">
                  <c:v>10.598000000000001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F-471B-A77C-EF2311AACE2D}"/>
            </c:ext>
          </c:extLst>
        </c:ser>
        <c:ser>
          <c:idx val="1"/>
          <c:order val="1"/>
          <c:tx>
            <c:v>Recomender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Sheet1!$M$116:$M$117</c:f>
              <c:numCache>
                <c:formatCode>0.00</c:formatCode>
                <c:ptCount val="2"/>
                <c:pt idx="0">
                  <c:v>4.6119999999999992</c:v>
                </c:pt>
                <c:pt idx="1">
                  <c:v>2.5760000000000001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3F-471B-A77C-EF2311AACE2D}"/>
            </c:ext>
          </c:extLst>
        </c:ser>
        <c:ser>
          <c:idx val="2"/>
          <c:order val="2"/>
          <c:tx>
            <c:v>Registery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Sheet1!$N$116:$N$117</c:f>
              <c:numCache>
                <c:formatCode>0.00</c:formatCode>
                <c:ptCount val="2"/>
                <c:pt idx="0">
                  <c:v>1.0820000000000001</c:v>
                </c:pt>
                <c:pt idx="1">
                  <c:v>1.4220000000000002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3F-471B-A77C-EF2311AACE2D}"/>
            </c:ext>
          </c:extLst>
        </c:ser>
        <c:ser>
          <c:idx val="3"/>
          <c:order val="3"/>
          <c:tx>
            <c:v>DB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Sheet1!$O$116:$O$117</c:f>
              <c:numCache>
                <c:formatCode>0.00</c:formatCode>
                <c:ptCount val="2"/>
                <c:pt idx="0">
                  <c:v>0.8879999999999999</c:v>
                </c:pt>
                <c:pt idx="1">
                  <c:v>0.752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3F-471B-A77C-EF2311AACE2D}"/>
            </c:ext>
          </c:extLst>
        </c:ser>
        <c:ser>
          <c:idx val="4"/>
          <c:order val="4"/>
          <c:tx>
            <c:v>Authentication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Sheet1!$P$116:$P$117</c:f>
              <c:numCache>
                <c:formatCode>0.00</c:formatCode>
                <c:ptCount val="2"/>
                <c:pt idx="0">
                  <c:v>10.681999999999999</c:v>
                </c:pt>
                <c:pt idx="1">
                  <c:v>15.448000000000002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3F-471B-A77C-EF2311AACE2D}"/>
            </c:ext>
          </c:extLst>
        </c:ser>
        <c:ser>
          <c:idx val="5"/>
          <c:order val="5"/>
          <c:tx>
            <c:v>Image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Sheet1!$Q$116:$Q$117</c:f>
              <c:numCache>
                <c:formatCode>0.00</c:formatCode>
                <c:ptCount val="2"/>
                <c:pt idx="0">
                  <c:v>9.8699999999999974</c:v>
                </c:pt>
                <c:pt idx="1">
                  <c:v>9.7360000000000007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3F-471B-A77C-EF2311AACE2D}"/>
            </c:ext>
          </c:extLst>
        </c:ser>
        <c:ser>
          <c:idx val="6"/>
          <c:order val="6"/>
          <c:tx>
            <c:v>WebUI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Sheet1!$R$116:$R$117</c:f>
              <c:numCache>
                <c:formatCode>0.00</c:formatCode>
                <c:ptCount val="2"/>
                <c:pt idx="0">
                  <c:v>22.720000000000002</c:v>
                </c:pt>
                <c:pt idx="1">
                  <c:v>42.410000000000004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3F-471B-A77C-EF2311AAC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5301551"/>
        <c:axId val="615285231"/>
      </c:barChart>
      <c:catAx>
        <c:axId val="61530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85231"/>
        <c:crosses val="autoZero"/>
        <c:auto val="1"/>
        <c:lblAlgn val="ctr"/>
        <c:lblOffset val="100"/>
        <c:noMultiLvlLbl val="0"/>
      </c:catAx>
      <c:valAx>
        <c:axId val="6152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CPU</a:t>
                </a:r>
                <a:r>
                  <a:rPr lang="en-CA" baseline="0"/>
                  <a:t> Utilization (%)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015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Persistance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Sheet1!$L$123:$L$124</c:f>
              <c:numCache>
                <c:formatCode>0.00</c:formatCode>
                <c:ptCount val="2"/>
                <c:pt idx="0">
                  <c:v>12.34</c:v>
                </c:pt>
                <c:pt idx="1">
                  <c:v>13.902000000000001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D-4C2B-B615-EAE74B181817}"/>
            </c:ext>
          </c:extLst>
        </c:ser>
        <c:ser>
          <c:idx val="1"/>
          <c:order val="1"/>
          <c:tx>
            <c:v>Recomender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Sheet1!$M$123:$M$124</c:f>
              <c:numCache>
                <c:formatCode>0.00</c:formatCode>
                <c:ptCount val="2"/>
                <c:pt idx="0">
                  <c:v>18.318000000000001</c:v>
                </c:pt>
                <c:pt idx="1">
                  <c:v>13.961999999999998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D-4C2B-B615-EAE74B181817}"/>
            </c:ext>
          </c:extLst>
        </c:ser>
        <c:ser>
          <c:idx val="2"/>
          <c:order val="2"/>
          <c:tx>
            <c:v>Registery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Sheet1!$N$123:$N$124</c:f>
              <c:numCache>
                <c:formatCode>0.00</c:formatCode>
                <c:ptCount val="2"/>
                <c:pt idx="0">
                  <c:v>2.8180000000000001</c:v>
                </c:pt>
                <c:pt idx="1">
                  <c:v>1.532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AD-4C2B-B615-EAE74B181817}"/>
            </c:ext>
          </c:extLst>
        </c:ser>
        <c:ser>
          <c:idx val="3"/>
          <c:order val="3"/>
          <c:tx>
            <c:v>DB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Sheet1!$O$123:$O$124</c:f>
              <c:numCache>
                <c:formatCode>0.00</c:formatCode>
                <c:ptCount val="2"/>
                <c:pt idx="0">
                  <c:v>0.39400000000000002</c:v>
                </c:pt>
                <c:pt idx="1">
                  <c:v>0.42000000000000004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AD-4C2B-B615-EAE74B181817}"/>
            </c:ext>
          </c:extLst>
        </c:ser>
        <c:ser>
          <c:idx val="4"/>
          <c:order val="4"/>
          <c:tx>
            <c:v>Authentication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Sheet1!$P$123:$P$124</c:f>
              <c:numCache>
                <c:formatCode>0.00</c:formatCode>
                <c:ptCount val="2"/>
                <c:pt idx="0">
                  <c:v>8.5579999999999998</c:v>
                </c:pt>
                <c:pt idx="1">
                  <c:v>19.916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AD-4C2B-B615-EAE74B181817}"/>
            </c:ext>
          </c:extLst>
        </c:ser>
        <c:ser>
          <c:idx val="5"/>
          <c:order val="5"/>
          <c:tx>
            <c:v>Image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Sheet1!$Q$123:$Q$124</c:f>
              <c:numCache>
                <c:formatCode>0.00</c:formatCode>
                <c:ptCount val="2"/>
                <c:pt idx="0">
                  <c:v>11.040000000000001</c:v>
                </c:pt>
                <c:pt idx="1">
                  <c:v>12.052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AD-4C2B-B615-EAE74B181817}"/>
            </c:ext>
          </c:extLst>
        </c:ser>
        <c:ser>
          <c:idx val="6"/>
          <c:order val="6"/>
          <c:tx>
            <c:v>WebUI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Sheet1!$R$123:$R$124</c:f>
              <c:numCache>
                <c:formatCode>0.00</c:formatCode>
                <c:ptCount val="2"/>
                <c:pt idx="0">
                  <c:v>43.15</c:v>
                </c:pt>
                <c:pt idx="1">
                  <c:v>35.396000000000001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AD-4C2B-B615-EAE74B181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5301551"/>
        <c:axId val="615285231"/>
      </c:barChart>
      <c:catAx>
        <c:axId val="6153015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Runs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285231"/>
        <c:crosses val="autoZero"/>
        <c:auto val="1"/>
        <c:lblAlgn val="ctr"/>
        <c:lblOffset val="100"/>
        <c:noMultiLvlLbl val="0"/>
      </c:catAx>
      <c:valAx>
        <c:axId val="6152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CPU</a:t>
                </a:r>
                <a:r>
                  <a:rPr lang="en-CA" baseline="0"/>
                  <a:t> Utilization (%)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015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50053</xdr:colOff>
      <xdr:row>58</xdr:row>
      <xdr:rowOff>113927</xdr:rowOff>
    </xdr:from>
    <xdr:to>
      <xdr:col>19</xdr:col>
      <xdr:colOff>440752</xdr:colOff>
      <xdr:row>80</xdr:row>
      <xdr:rowOff>85580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A43BB7-FFEB-C1EE-42BB-921BAEC14C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28014</xdr:colOff>
      <xdr:row>33</xdr:row>
      <xdr:rowOff>14006</xdr:rowOff>
    </xdr:from>
    <xdr:to>
      <xdr:col>19</xdr:col>
      <xdr:colOff>418713</xdr:colOff>
      <xdr:row>54</xdr:row>
      <xdr:rowOff>167756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1CC975-2B4B-4B84-A800-63B72F845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42022</xdr:colOff>
      <xdr:row>34</xdr:row>
      <xdr:rowOff>0</xdr:rowOff>
    </xdr:from>
    <xdr:to>
      <xdr:col>29</xdr:col>
      <xdr:colOff>432720</xdr:colOff>
      <xdr:row>55</xdr:row>
      <xdr:rowOff>153747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0C6617-3CBF-4234-8AA0-FE011B477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92927</xdr:colOff>
      <xdr:row>58</xdr:row>
      <xdr:rowOff>104543</xdr:rowOff>
    </xdr:from>
    <xdr:to>
      <xdr:col>29</xdr:col>
      <xdr:colOff>483625</xdr:colOff>
      <xdr:row>80</xdr:row>
      <xdr:rowOff>72436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5122E7-D248-49B2-9BFA-965E52D75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422130</xdr:colOff>
      <xdr:row>95</xdr:row>
      <xdr:rowOff>108239</xdr:rowOff>
    </xdr:from>
    <xdr:to>
      <xdr:col>28</xdr:col>
      <xdr:colOff>163398</xdr:colOff>
      <xdr:row>117</xdr:row>
      <xdr:rowOff>77982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8F901A-2B3A-40B2-B70D-6B6EA8EEF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10824</xdr:colOff>
      <xdr:row>122</xdr:row>
      <xdr:rowOff>97416</xdr:rowOff>
    </xdr:from>
    <xdr:to>
      <xdr:col>28</xdr:col>
      <xdr:colOff>401523</xdr:colOff>
      <xdr:row>144</xdr:row>
      <xdr:rowOff>67159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163336F-4C51-4736-B57A-6D182F418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5E1F-1315-4BA7-84C7-ED73024AA5B2}">
  <dimension ref="A1:AC153"/>
  <sheetViews>
    <sheetView tabSelected="1" topLeftCell="J26" zoomScale="44" workbookViewId="0">
      <selection activeCell="L128" sqref="L128"/>
    </sheetView>
  </sheetViews>
  <sheetFormatPr defaultRowHeight="14.25" x14ac:dyDescent="0.45"/>
  <sheetData>
    <row r="1" spans="1:29" x14ac:dyDescent="0.45">
      <c r="A1" t="s">
        <v>2</v>
      </c>
      <c r="K1" t="s">
        <v>26</v>
      </c>
      <c r="U1" t="s">
        <v>29</v>
      </c>
    </row>
    <row r="2" spans="1:29" x14ac:dyDescent="0.45">
      <c r="A2" t="s">
        <v>14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K2" t="s">
        <v>0</v>
      </c>
      <c r="L2" t="s">
        <v>1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U2" t="s">
        <v>0</v>
      </c>
      <c r="V2" t="s">
        <v>1</v>
      </c>
      <c r="W2" t="s">
        <v>3</v>
      </c>
      <c r="X2" t="s">
        <v>4</v>
      </c>
      <c r="Y2" t="s">
        <v>5</v>
      </c>
      <c r="Z2" t="s">
        <v>6</v>
      </c>
      <c r="AA2" t="s">
        <v>7</v>
      </c>
      <c r="AB2" t="s">
        <v>8</v>
      </c>
      <c r="AC2" t="s">
        <v>9</v>
      </c>
    </row>
    <row r="3" spans="1:29" x14ac:dyDescent="0.45">
      <c r="A3">
        <v>1</v>
      </c>
      <c r="B3">
        <v>13.11</v>
      </c>
      <c r="C3">
        <v>3.43</v>
      </c>
      <c r="D3">
        <v>0.93</v>
      </c>
      <c r="E3">
        <v>0.86</v>
      </c>
      <c r="F3">
        <v>8.58</v>
      </c>
      <c r="G3">
        <v>16.32</v>
      </c>
      <c r="H3">
        <v>43.51</v>
      </c>
      <c r="I3">
        <f>SUM(B3:H3)</f>
        <v>86.74</v>
      </c>
      <c r="K3">
        <v>1</v>
      </c>
      <c r="L3" s="1">
        <f>AVERAGE(B$3:B$5)</f>
        <v>26.296666666666667</v>
      </c>
      <c r="M3" s="1">
        <f t="shared" ref="M3:S3" si="0">AVERAGE(C$3:C$5)</f>
        <v>7.543333333333333</v>
      </c>
      <c r="N3" s="1">
        <f t="shared" si="0"/>
        <v>2.8533333333333335</v>
      </c>
      <c r="O3" s="1">
        <f t="shared" si="0"/>
        <v>0.73</v>
      </c>
      <c r="P3" s="1">
        <f t="shared" si="0"/>
        <v>11.273333333333333</v>
      </c>
      <c r="Q3" s="1">
        <f t="shared" si="0"/>
        <v>16.73</v>
      </c>
      <c r="R3" s="1">
        <f t="shared" si="0"/>
        <v>48.486666666666657</v>
      </c>
      <c r="S3" s="1">
        <f t="shared" si="0"/>
        <v>113.91333333333334</v>
      </c>
      <c r="U3">
        <v>1</v>
      </c>
      <c r="V3" s="1">
        <f>_xlfn.STDEV.S(B$3:B$5)</f>
        <v>19.41407049882465</v>
      </c>
      <c r="W3" s="1">
        <f t="shared" ref="W3:AC3" si="1">_xlfn.STDEV.S(C$3:C$5)</f>
        <v>4.6636609367891788</v>
      </c>
      <c r="X3" s="1">
        <f t="shared" si="1"/>
        <v>3.3313110532241406</v>
      </c>
      <c r="Y3" s="1">
        <f t="shared" si="1"/>
        <v>0.11789826122551558</v>
      </c>
      <c r="Z3" s="1">
        <f t="shared" si="1"/>
        <v>3.455869403396679</v>
      </c>
      <c r="AA3" s="1">
        <f t="shared" si="1"/>
        <v>8.432478876344728</v>
      </c>
      <c r="AB3" s="1">
        <f t="shared" si="1"/>
        <v>4.3107578606705985</v>
      </c>
      <c r="AC3" s="1">
        <f t="shared" si="1"/>
        <v>40.279382236242519</v>
      </c>
    </row>
    <row r="4" spans="1:29" x14ac:dyDescent="0.45">
      <c r="A4">
        <v>2</v>
      </c>
      <c r="B4">
        <v>48.59</v>
      </c>
      <c r="C4">
        <v>12.61</v>
      </c>
      <c r="D4">
        <v>6.7</v>
      </c>
      <c r="E4">
        <v>0.7</v>
      </c>
      <c r="F4">
        <v>15.17</v>
      </c>
      <c r="G4">
        <v>25.36</v>
      </c>
      <c r="H4">
        <v>51.06</v>
      </c>
      <c r="I4">
        <f t="shared" ref="I4:I5" si="2">SUM(B4:H4)</f>
        <v>160.19</v>
      </c>
      <c r="K4">
        <v>2</v>
      </c>
      <c r="L4" s="1">
        <f>AVERAGE(B$11:B$13)</f>
        <v>17.849999999999998</v>
      </c>
      <c r="M4" s="1">
        <f t="shared" ref="M3:S4" si="3">AVERAGE(C$11:C$13)</f>
        <v>5.3866666666666667</v>
      </c>
      <c r="N4" s="1">
        <f t="shared" si="3"/>
        <v>1.26</v>
      </c>
      <c r="O4" s="1">
        <f t="shared" si="3"/>
        <v>0.83333333333333337</v>
      </c>
      <c r="P4" s="1">
        <f t="shared" si="3"/>
        <v>11.963333333333333</v>
      </c>
      <c r="Q4" s="1">
        <f t="shared" si="3"/>
        <v>10.836666666666666</v>
      </c>
      <c r="R4" s="1">
        <f t="shared" si="3"/>
        <v>53.786666666666669</v>
      </c>
      <c r="S4" s="1">
        <f t="shared" ref="S4" si="4">AVERAGE(I$11:I$13)</f>
        <v>101.91666666666667</v>
      </c>
      <c r="U4">
        <v>2</v>
      </c>
      <c r="V4" s="1">
        <f>_xlfn.STDEV.S(B$11:B$13)</f>
        <v>16.987704376989846</v>
      </c>
      <c r="W4" s="1">
        <f t="shared" ref="W4:AB4" si="5">_xlfn.STDEV.S(C$11:C$13)</f>
        <v>4.0180758247366759</v>
      </c>
      <c r="X4" s="1">
        <f t="shared" si="5"/>
        <v>0.52048054718692427</v>
      </c>
      <c r="Y4" s="1">
        <f t="shared" si="5"/>
        <v>0.86152964739081006</v>
      </c>
      <c r="Z4" s="1">
        <f t="shared" si="5"/>
        <v>14.149064751188797</v>
      </c>
      <c r="AA4" s="1">
        <f t="shared" si="5"/>
        <v>5.2370443318090567</v>
      </c>
      <c r="AB4" s="1">
        <f t="shared" si="5"/>
        <v>2.1742201667111209</v>
      </c>
      <c r="AC4" s="1">
        <f>_xlfn.STDEV.S(I$11:I$13)</f>
        <v>32.704865591121674</v>
      </c>
    </row>
    <row r="5" spans="1:29" x14ac:dyDescent="0.45">
      <c r="A5">
        <v>3</v>
      </c>
      <c r="B5">
        <v>17.190000000000001</v>
      </c>
      <c r="C5">
        <v>6.59</v>
      </c>
      <c r="D5">
        <v>0.93</v>
      </c>
      <c r="E5">
        <v>0.63</v>
      </c>
      <c r="F5">
        <v>10.07</v>
      </c>
      <c r="G5">
        <v>8.51</v>
      </c>
      <c r="H5">
        <v>50.89</v>
      </c>
      <c r="I5">
        <f t="shared" si="2"/>
        <v>94.81</v>
      </c>
      <c r="K5">
        <v>3</v>
      </c>
      <c r="L5" s="1">
        <f>AVERAGE(B$19:B$21)</f>
        <v>18.373333333333335</v>
      </c>
      <c r="M5" s="1">
        <f t="shared" ref="M5:S5" si="6">AVERAGE(C$19:C$21)</f>
        <v>12.216666666666667</v>
      </c>
      <c r="N5" s="1">
        <f t="shared" si="6"/>
        <v>0.8933333333333332</v>
      </c>
      <c r="O5" s="1">
        <f t="shared" si="6"/>
        <v>1.4000000000000001</v>
      </c>
      <c r="P5" s="1">
        <f t="shared" si="6"/>
        <v>15.413333333333332</v>
      </c>
      <c r="Q5" s="1">
        <f t="shared" si="6"/>
        <v>21.36</v>
      </c>
      <c r="R5" s="1">
        <f t="shared" si="6"/>
        <v>52.44</v>
      </c>
      <c r="S5" s="1">
        <f t="shared" si="6"/>
        <v>122.09666666666665</v>
      </c>
      <c r="U5">
        <v>3</v>
      </c>
      <c r="V5" s="1">
        <f>_xlfn.STDEV.S(B$19:B$21)</f>
        <v>5.6865308698127439</v>
      </c>
      <c r="W5" s="1">
        <f t="shared" ref="W5:AC5" si="7">_xlfn.STDEV.S(C$19:C$21)</f>
        <v>6.9653738832408232</v>
      </c>
      <c r="X5" s="1">
        <f t="shared" si="7"/>
        <v>0.45003703551300472</v>
      </c>
      <c r="Y5" s="1">
        <f t="shared" si="7"/>
        <v>0.37509998667022082</v>
      </c>
      <c r="Z5" s="1">
        <f t="shared" si="7"/>
        <v>5.0264235131287256</v>
      </c>
      <c r="AA5" s="1">
        <f t="shared" si="7"/>
        <v>13.909191205817828</v>
      </c>
      <c r="AB5" s="1">
        <f t="shared" si="7"/>
        <v>1.1048981853546487</v>
      </c>
      <c r="AC5" s="1">
        <f t="shared" si="7"/>
        <v>21.597718243678749</v>
      </c>
    </row>
    <row r="6" spans="1:29" x14ac:dyDescent="0.45">
      <c r="A6" t="s">
        <v>10</v>
      </c>
      <c r="B6" s="1">
        <f>AVERAGE(B$3:B$5)</f>
        <v>26.296666666666667</v>
      </c>
      <c r="C6" s="1">
        <f t="shared" ref="C6:I6" si="8">AVERAGE(C$3:C$5)</f>
        <v>7.543333333333333</v>
      </c>
      <c r="D6" s="1">
        <f t="shared" si="8"/>
        <v>2.8533333333333335</v>
      </c>
      <c r="E6" s="1">
        <f t="shared" si="8"/>
        <v>0.73</v>
      </c>
      <c r="F6" s="1">
        <f t="shared" si="8"/>
        <v>11.273333333333333</v>
      </c>
      <c r="G6" s="1">
        <f t="shared" si="8"/>
        <v>16.73</v>
      </c>
      <c r="H6" s="1">
        <f t="shared" si="8"/>
        <v>48.486666666666657</v>
      </c>
      <c r="I6" s="1">
        <f t="shared" si="8"/>
        <v>113.91333333333334</v>
      </c>
      <c r="J6" s="1"/>
    </row>
    <row r="7" spans="1:29" x14ac:dyDescent="0.45">
      <c r="A7" t="s">
        <v>11</v>
      </c>
      <c r="B7" s="1">
        <f>_xlfn.STDEV.S(B$3:B$5)</f>
        <v>19.41407049882465</v>
      </c>
      <c r="C7" s="1">
        <f t="shared" ref="C7:I7" si="9">_xlfn.STDEV.S(C$3:C$5)</f>
        <v>4.6636609367891788</v>
      </c>
      <c r="D7" s="1">
        <f t="shared" si="9"/>
        <v>3.3313110532241406</v>
      </c>
      <c r="E7" s="1">
        <f t="shared" si="9"/>
        <v>0.11789826122551558</v>
      </c>
      <c r="F7" s="1">
        <f t="shared" si="9"/>
        <v>3.455869403396679</v>
      </c>
      <c r="G7" s="1">
        <f t="shared" si="9"/>
        <v>8.432478876344728</v>
      </c>
      <c r="H7" s="1">
        <f t="shared" si="9"/>
        <v>4.3107578606705985</v>
      </c>
      <c r="I7" s="1">
        <f t="shared" si="9"/>
        <v>40.279382236242519</v>
      </c>
    </row>
    <row r="8" spans="1:29" x14ac:dyDescent="0.45">
      <c r="K8" t="s">
        <v>25</v>
      </c>
      <c r="U8" t="s">
        <v>30</v>
      </c>
    </row>
    <row r="9" spans="1:29" x14ac:dyDescent="0.45">
      <c r="A9" t="s">
        <v>12</v>
      </c>
      <c r="K9" t="s">
        <v>0</v>
      </c>
      <c r="L9" t="s">
        <v>1</v>
      </c>
      <c r="M9" t="s">
        <v>3</v>
      </c>
      <c r="N9" t="s">
        <v>4</v>
      </c>
      <c r="O9" t="s">
        <v>5</v>
      </c>
      <c r="P9" t="s">
        <v>6</v>
      </c>
      <c r="Q9" t="s">
        <v>7</v>
      </c>
      <c r="R9" t="s">
        <v>8</v>
      </c>
      <c r="S9" t="s">
        <v>9</v>
      </c>
      <c r="U9" t="s">
        <v>0</v>
      </c>
      <c r="V9" t="s">
        <v>1</v>
      </c>
      <c r="W9" t="s">
        <v>3</v>
      </c>
      <c r="X9" t="s">
        <v>4</v>
      </c>
      <c r="Y9" t="s">
        <v>5</v>
      </c>
      <c r="Z9" t="s">
        <v>6</v>
      </c>
      <c r="AA9" t="s">
        <v>7</v>
      </c>
      <c r="AB9" t="s">
        <v>8</v>
      </c>
      <c r="AC9" t="s">
        <v>9</v>
      </c>
    </row>
    <row r="10" spans="1:29" x14ac:dyDescent="0.45">
      <c r="A10" t="s">
        <v>14</v>
      </c>
      <c r="B10" t="s">
        <v>1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K10">
        <v>1</v>
      </c>
      <c r="L10" s="1">
        <f>AVERAGE(B$29:B$31)</f>
        <v>17.483333333333334</v>
      </c>
      <c r="M10" s="1">
        <f t="shared" ref="M10:S10" si="10">AVERAGE(C$29:C$31)</f>
        <v>7.7600000000000007</v>
      </c>
      <c r="N10" s="1">
        <f t="shared" si="10"/>
        <v>2.2600000000000002</v>
      </c>
      <c r="O10" s="1">
        <f t="shared" si="10"/>
        <v>0.70000000000000007</v>
      </c>
      <c r="P10" s="1">
        <f t="shared" si="10"/>
        <v>13.54</v>
      </c>
      <c r="Q10" s="1">
        <f t="shared" si="10"/>
        <v>19.313333333333336</v>
      </c>
      <c r="R10" s="1">
        <f t="shared" si="10"/>
        <v>47.26</v>
      </c>
      <c r="S10" s="1">
        <f t="shared" si="10"/>
        <v>108.31666666666666</v>
      </c>
      <c r="U10">
        <v>1</v>
      </c>
      <c r="V10" s="1">
        <f>_xlfn.STDEV.S(B29:B31)</f>
        <v>25.092561314726986</v>
      </c>
      <c r="W10" s="1">
        <f t="shared" ref="W10:AC10" si="11">_xlfn.STDEV.S(C29:C31)</f>
        <v>9.3129640823961086</v>
      </c>
      <c r="X10" s="1">
        <f t="shared" si="11"/>
        <v>1.8292894795521013</v>
      </c>
      <c r="Y10" s="1">
        <f t="shared" si="11"/>
        <v>0.83737685661833283</v>
      </c>
      <c r="Z10" s="1">
        <f t="shared" si="11"/>
        <v>19.106750116123887</v>
      </c>
      <c r="AA10" s="1">
        <f t="shared" si="11"/>
        <v>25.129290346791201</v>
      </c>
      <c r="AB10" s="1">
        <f t="shared" si="11"/>
        <v>8.3619196360644299</v>
      </c>
      <c r="AC10" s="1">
        <f t="shared" si="11"/>
        <v>86.819410464096833</v>
      </c>
    </row>
    <row r="11" spans="1:29" x14ac:dyDescent="0.45">
      <c r="A11">
        <v>1</v>
      </c>
      <c r="B11">
        <v>35.01</v>
      </c>
      <c r="C11">
        <v>2.86</v>
      </c>
      <c r="D11">
        <v>0.93</v>
      </c>
      <c r="E11">
        <v>0.45</v>
      </c>
      <c r="F11">
        <v>4.9400000000000004</v>
      </c>
      <c r="G11">
        <v>8.2899999999999991</v>
      </c>
      <c r="H11">
        <v>53.5</v>
      </c>
      <c r="I11">
        <f>SUM(B11:H11)</f>
        <v>105.97999999999999</v>
      </c>
      <c r="K11">
        <v>2</v>
      </c>
      <c r="L11" s="1">
        <f>AVERAGE(B37:B39)</f>
        <v>12.256666666666668</v>
      </c>
      <c r="M11" s="1">
        <f t="shared" ref="M11:S11" si="12">AVERAGE(C37:C39)</f>
        <v>5.919999999999999</v>
      </c>
      <c r="N11" s="1">
        <f t="shared" si="12"/>
        <v>12.813333333333334</v>
      </c>
      <c r="O11" s="1">
        <f t="shared" si="12"/>
        <v>27.279999999999998</v>
      </c>
      <c r="P11" s="1">
        <f t="shared" si="12"/>
        <v>26.66</v>
      </c>
      <c r="Q11" s="1">
        <f t="shared" si="12"/>
        <v>10.836666666666666</v>
      </c>
      <c r="R11" s="1">
        <f t="shared" si="12"/>
        <v>53.786666666666669</v>
      </c>
      <c r="S11" s="1">
        <f t="shared" si="12"/>
        <v>140.46</v>
      </c>
      <c r="U11">
        <v>2</v>
      </c>
      <c r="V11" s="1">
        <f>_xlfn.STDEV.S(B37:B39)</f>
        <v>9.7207732888558454</v>
      </c>
      <c r="W11" s="1">
        <f t="shared" ref="W11:AC11" si="13">_xlfn.STDEV.S(C37:C39)</f>
        <v>3.5843548931432565</v>
      </c>
      <c r="X11" s="1">
        <f t="shared" si="13"/>
        <v>19.729967899956993</v>
      </c>
      <c r="Y11" s="1">
        <f t="shared" si="13"/>
        <v>38.25447686219222</v>
      </c>
      <c r="Z11" s="1">
        <f t="shared" si="13"/>
        <v>23.205889338700207</v>
      </c>
      <c r="AA11" s="1">
        <f t="shared" si="13"/>
        <v>5.2370443318090567</v>
      </c>
      <c r="AB11" s="1">
        <f t="shared" si="13"/>
        <v>2.1742201667111209</v>
      </c>
      <c r="AC11" s="1">
        <f t="shared" si="13"/>
        <v>78.398314395145022</v>
      </c>
    </row>
    <row r="12" spans="1:29" x14ac:dyDescent="0.45">
      <c r="A12">
        <v>2</v>
      </c>
      <c r="B12">
        <v>17.5</v>
      </c>
      <c r="C12">
        <v>10.02</v>
      </c>
      <c r="D12">
        <v>1.86</v>
      </c>
      <c r="E12">
        <v>1.82</v>
      </c>
      <c r="F12">
        <v>28.25</v>
      </c>
      <c r="G12">
        <v>16.86</v>
      </c>
      <c r="H12">
        <v>56.09</v>
      </c>
      <c r="I12">
        <f t="shared" ref="I12:I13" si="14">SUM(B12:H12)</f>
        <v>132.4</v>
      </c>
      <c r="K12">
        <v>3</v>
      </c>
      <c r="L12" s="1">
        <f>AVERAGE(B45:B47)</f>
        <v>18.373333333333335</v>
      </c>
      <c r="M12" s="1">
        <f t="shared" ref="M12:S12" si="15">AVERAGE(C45:C47)</f>
        <v>12.15</v>
      </c>
      <c r="N12" s="1">
        <f t="shared" si="15"/>
        <v>0.8933333333333332</v>
      </c>
      <c r="O12" s="1">
        <f t="shared" si="15"/>
        <v>1.4000000000000001</v>
      </c>
      <c r="P12" s="1">
        <f t="shared" si="15"/>
        <v>15.413333333333332</v>
      </c>
      <c r="Q12" s="1">
        <f t="shared" si="15"/>
        <v>21.36</v>
      </c>
      <c r="R12" s="1">
        <f t="shared" si="15"/>
        <v>52.44</v>
      </c>
      <c r="S12" s="1">
        <f t="shared" si="15"/>
        <v>122.02999999999999</v>
      </c>
      <c r="U12">
        <v>3</v>
      </c>
      <c r="V12" s="1">
        <f>_xlfn.STDEV.S(B45:B47)</f>
        <v>5.6865308698127439</v>
      </c>
      <c r="W12" s="1">
        <f t="shared" ref="W12:AC12" si="16">_xlfn.STDEV.S(C45:C47)</f>
        <v>7.0285916085656863</v>
      </c>
      <c r="X12" s="1">
        <f t="shared" si="16"/>
        <v>0.45003703551300472</v>
      </c>
      <c r="Y12" s="1">
        <f t="shared" si="16"/>
        <v>0.37509998667022082</v>
      </c>
      <c r="Z12" s="1">
        <f t="shared" si="16"/>
        <v>5.0264235131287256</v>
      </c>
      <c r="AA12" s="1">
        <f t="shared" si="16"/>
        <v>13.909191205817828</v>
      </c>
      <c r="AB12" s="1">
        <f t="shared" si="16"/>
        <v>1.1048981853546487</v>
      </c>
      <c r="AC12" s="1">
        <f t="shared" si="16"/>
        <v>21.502699830486385</v>
      </c>
    </row>
    <row r="13" spans="1:29" x14ac:dyDescent="0.45">
      <c r="A13">
        <v>3</v>
      </c>
      <c r="B13">
        <v>1.04</v>
      </c>
      <c r="C13">
        <v>3.28</v>
      </c>
      <c r="D13">
        <v>0.99</v>
      </c>
      <c r="E13">
        <v>0.23</v>
      </c>
      <c r="F13">
        <v>2.7</v>
      </c>
      <c r="G13">
        <v>7.36</v>
      </c>
      <c r="H13">
        <v>51.77</v>
      </c>
      <c r="I13">
        <f t="shared" si="14"/>
        <v>67.37</v>
      </c>
    </row>
    <row r="14" spans="1:29" x14ac:dyDescent="0.45">
      <c r="A14" t="s">
        <v>10</v>
      </c>
      <c r="B14" s="1">
        <f>AVERAGE(B$11:B$13)</f>
        <v>17.849999999999998</v>
      </c>
      <c r="C14" s="1">
        <f t="shared" ref="C14:I14" si="17">AVERAGE(C$11:C$13)</f>
        <v>5.3866666666666667</v>
      </c>
      <c r="D14" s="1">
        <f t="shared" si="17"/>
        <v>1.26</v>
      </c>
      <c r="E14" s="1">
        <f t="shared" si="17"/>
        <v>0.83333333333333337</v>
      </c>
      <c r="F14" s="1">
        <f t="shared" si="17"/>
        <v>11.963333333333333</v>
      </c>
      <c r="G14" s="1">
        <f t="shared" si="17"/>
        <v>10.836666666666666</v>
      </c>
      <c r="H14" s="1">
        <f t="shared" si="17"/>
        <v>53.786666666666669</v>
      </c>
      <c r="I14" s="1">
        <f t="shared" si="17"/>
        <v>101.91666666666667</v>
      </c>
    </row>
    <row r="15" spans="1:29" x14ac:dyDescent="0.45">
      <c r="A15" t="s">
        <v>11</v>
      </c>
      <c r="B15" s="1">
        <f>_xlfn.STDEV.S(B$11:B$13)</f>
        <v>16.987704376989846</v>
      </c>
      <c r="C15" s="1">
        <f t="shared" ref="C15:I15" si="18">_xlfn.STDEV.S(C$11:C$13)</f>
        <v>4.0180758247366759</v>
      </c>
      <c r="D15" s="1">
        <f t="shared" si="18"/>
        <v>0.52048054718692427</v>
      </c>
      <c r="E15" s="1">
        <f t="shared" si="18"/>
        <v>0.86152964739081006</v>
      </c>
      <c r="F15" s="1">
        <f t="shared" si="18"/>
        <v>14.149064751188797</v>
      </c>
      <c r="G15" s="1">
        <f t="shared" si="18"/>
        <v>5.2370443318090567</v>
      </c>
      <c r="H15" s="1">
        <f t="shared" si="18"/>
        <v>2.1742201667111209</v>
      </c>
      <c r="I15" s="1">
        <f t="shared" si="18"/>
        <v>32.704865591121674</v>
      </c>
      <c r="K15" t="s">
        <v>27</v>
      </c>
      <c r="U15" t="s">
        <v>31</v>
      </c>
    </row>
    <row r="16" spans="1:29" x14ac:dyDescent="0.45">
      <c r="K16" t="s">
        <v>0</v>
      </c>
      <c r="L16" t="s">
        <v>1</v>
      </c>
      <c r="M16" t="s">
        <v>3</v>
      </c>
      <c r="N16" t="s">
        <v>4</v>
      </c>
      <c r="O16" t="s">
        <v>5</v>
      </c>
      <c r="P16" t="s">
        <v>6</v>
      </c>
      <c r="Q16" t="s">
        <v>7</v>
      </c>
      <c r="R16" t="s">
        <v>8</v>
      </c>
      <c r="S16" t="s">
        <v>9</v>
      </c>
      <c r="U16" t="s">
        <v>0</v>
      </c>
      <c r="V16" t="s">
        <v>1</v>
      </c>
      <c r="W16" t="s">
        <v>3</v>
      </c>
      <c r="X16" t="s">
        <v>4</v>
      </c>
      <c r="Y16" t="s">
        <v>5</v>
      </c>
      <c r="Z16" t="s">
        <v>6</v>
      </c>
      <c r="AA16" t="s">
        <v>7</v>
      </c>
      <c r="AB16" t="s">
        <v>8</v>
      </c>
      <c r="AC16" t="s">
        <v>9</v>
      </c>
    </row>
    <row r="17" spans="1:29" x14ac:dyDescent="0.45">
      <c r="A17" t="s">
        <v>13</v>
      </c>
      <c r="K17">
        <v>1</v>
      </c>
      <c r="L17" s="1">
        <f>AVERAGE(B55:B57)</f>
        <v>20.356666666666666</v>
      </c>
      <c r="M17" s="1">
        <f t="shared" ref="M17:S17" si="19">AVERAGE(C55:C57)</f>
        <v>5.88</v>
      </c>
      <c r="N17" s="1">
        <f t="shared" si="19"/>
        <v>1.4733333333333334</v>
      </c>
      <c r="O17" s="1">
        <f t="shared" si="19"/>
        <v>1.6266666666666667</v>
      </c>
      <c r="P17" s="1">
        <f t="shared" si="19"/>
        <v>14.58</v>
      </c>
      <c r="Q17" s="1">
        <f t="shared" si="19"/>
        <v>13.616666666666667</v>
      </c>
      <c r="R17" s="1">
        <f t="shared" si="19"/>
        <v>54.086666666666673</v>
      </c>
      <c r="S17" s="1">
        <f t="shared" si="19"/>
        <v>111.62</v>
      </c>
      <c r="U17">
        <v>1</v>
      </c>
      <c r="V17" s="1">
        <f>_xlfn.STDEV.S(B55:B57)</f>
        <v>6.0164552132741171</v>
      </c>
      <c r="W17" s="1">
        <f t="shared" ref="W17:AC17" si="20">_xlfn.STDEV.S(C55:C57)</f>
        <v>1.1240996397117133</v>
      </c>
      <c r="X17" s="1">
        <f t="shared" si="20"/>
        <v>1.1254480589229046</v>
      </c>
      <c r="Y17" s="1">
        <f t="shared" si="20"/>
        <v>0.51286775423429998</v>
      </c>
      <c r="Z17" s="1">
        <f t="shared" si="20"/>
        <v>3.1171782111390387</v>
      </c>
      <c r="AA17" s="1">
        <f t="shared" si="20"/>
        <v>3.1489416211376953</v>
      </c>
      <c r="AB17" s="1">
        <f t="shared" si="20"/>
        <v>1.191399737004057</v>
      </c>
      <c r="AC17" s="1">
        <f t="shared" si="20"/>
        <v>7.7933112346421929</v>
      </c>
    </row>
    <row r="18" spans="1:29" x14ac:dyDescent="0.45">
      <c r="A18" t="s">
        <v>14</v>
      </c>
      <c r="B18" t="s">
        <v>1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  <c r="I18" t="s">
        <v>9</v>
      </c>
      <c r="K18">
        <v>2</v>
      </c>
      <c r="L18" s="1">
        <f>AVERAGE(B63:B65)</f>
        <v>17.566666666666666</v>
      </c>
      <c r="M18" s="1">
        <f t="shared" ref="M18:S18" si="21">AVERAGE(C63:C65)</f>
        <v>8.7566666666666677</v>
      </c>
      <c r="N18" s="1">
        <f t="shared" si="21"/>
        <v>4.6866666666666665</v>
      </c>
      <c r="O18" s="1">
        <f t="shared" si="21"/>
        <v>1.1866666666666668</v>
      </c>
      <c r="P18" s="1">
        <f t="shared" si="21"/>
        <v>16.673333333333332</v>
      </c>
      <c r="Q18" s="1">
        <f t="shared" si="21"/>
        <v>9.4933333333333341</v>
      </c>
      <c r="R18" s="1">
        <f t="shared" si="21"/>
        <v>47.286666666666669</v>
      </c>
      <c r="S18" s="1">
        <f t="shared" si="21"/>
        <v>105.65000000000002</v>
      </c>
      <c r="U18">
        <v>2</v>
      </c>
      <c r="V18" s="1">
        <f>_xlfn.STDEV.S(B63:B65)</f>
        <v>3.7179609106785065</v>
      </c>
      <c r="W18" s="1">
        <f t="shared" ref="W18:AC18" si="22">_xlfn.STDEV.S(C63:C65)</f>
        <v>5.6645770657069647</v>
      </c>
      <c r="X18" s="1">
        <f t="shared" si="22"/>
        <v>6.1690869124476855</v>
      </c>
      <c r="Y18" s="1">
        <f t="shared" si="22"/>
        <v>0.4006661120351126</v>
      </c>
      <c r="Z18" s="1">
        <f t="shared" si="22"/>
        <v>11.973313381572099</v>
      </c>
      <c r="AA18" s="1">
        <f t="shared" si="22"/>
        <v>2.3275810046770351</v>
      </c>
      <c r="AB18" s="1">
        <f t="shared" si="22"/>
        <v>8.4582760260783996</v>
      </c>
      <c r="AC18" s="1">
        <f t="shared" si="22"/>
        <v>26.794419195048768</v>
      </c>
    </row>
    <row r="19" spans="1:29" x14ac:dyDescent="0.45">
      <c r="A19">
        <v>1</v>
      </c>
      <c r="B19">
        <v>17.41</v>
      </c>
      <c r="C19">
        <v>20.25</v>
      </c>
      <c r="D19">
        <v>1.4</v>
      </c>
      <c r="E19">
        <v>1.39</v>
      </c>
      <c r="F19">
        <v>10.54</v>
      </c>
      <c r="G19">
        <v>19.760000000000002</v>
      </c>
      <c r="H19">
        <v>53.32</v>
      </c>
      <c r="I19">
        <f>SUM(B19:H19)</f>
        <v>124.07</v>
      </c>
      <c r="K19">
        <v>3</v>
      </c>
      <c r="L19" s="1">
        <f>AVERAGE(B71:B73)</f>
        <v>14.523333333333333</v>
      </c>
      <c r="M19" s="1">
        <f t="shared" ref="M19:S19" si="23">AVERAGE(C71:C73)</f>
        <v>6.19</v>
      </c>
      <c r="N19" s="1">
        <f t="shared" si="23"/>
        <v>12.973333333333334</v>
      </c>
      <c r="O19" s="1">
        <f t="shared" si="23"/>
        <v>1.17</v>
      </c>
      <c r="P19" s="1">
        <f t="shared" si="23"/>
        <v>17.13</v>
      </c>
      <c r="Q19" s="1">
        <f t="shared" si="23"/>
        <v>12.31</v>
      </c>
      <c r="R19" s="1">
        <f t="shared" si="23"/>
        <v>33.533333333333331</v>
      </c>
      <c r="S19" s="1">
        <f t="shared" si="23"/>
        <v>97.83</v>
      </c>
      <c r="U19">
        <v>3</v>
      </c>
      <c r="V19" s="1">
        <f>_xlfn.STDEV.S(B71:B73)</f>
        <v>10.160326438325363</v>
      </c>
      <c r="W19" s="1">
        <f t="shared" ref="W19:AC19" si="24">_xlfn.STDEV.S(C71:C73)</f>
        <v>1.920104163841116</v>
      </c>
      <c r="X19" s="1">
        <f t="shared" si="24"/>
        <v>20.06595707493997</v>
      </c>
      <c r="Y19" s="1">
        <f t="shared" si="24"/>
        <v>0.74726166769077629</v>
      </c>
      <c r="Z19" s="1">
        <f t="shared" si="24"/>
        <v>11.3975567557262</v>
      </c>
      <c r="AA19" s="1">
        <f t="shared" si="24"/>
        <v>8.6070959097711928</v>
      </c>
      <c r="AB19" s="1">
        <f t="shared" si="24"/>
        <v>18.652947041508845</v>
      </c>
      <c r="AC19" s="1">
        <f t="shared" si="24"/>
        <v>32.042702757414155</v>
      </c>
    </row>
    <row r="20" spans="1:29" x14ac:dyDescent="0.45">
      <c r="A20">
        <v>2</v>
      </c>
      <c r="B20">
        <v>13.23</v>
      </c>
      <c r="C20">
        <v>8.5399999999999991</v>
      </c>
      <c r="D20">
        <v>0.54</v>
      </c>
      <c r="E20">
        <v>1.03</v>
      </c>
      <c r="F20">
        <v>15.12</v>
      </c>
      <c r="G20">
        <v>8.32</v>
      </c>
      <c r="H20">
        <v>52.8</v>
      </c>
      <c r="I20">
        <f t="shared" ref="I20:I21" si="25">SUM(B20:H20)</f>
        <v>99.58</v>
      </c>
    </row>
    <row r="21" spans="1:29" x14ac:dyDescent="0.45">
      <c r="A21">
        <v>3</v>
      </c>
      <c r="B21">
        <v>24.48</v>
      </c>
      <c r="C21">
        <v>7.86</v>
      </c>
      <c r="D21">
        <v>0.74</v>
      </c>
      <c r="E21">
        <v>1.78</v>
      </c>
      <c r="F21">
        <v>20.58</v>
      </c>
      <c r="G21">
        <v>36</v>
      </c>
      <c r="H21">
        <v>51.2</v>
      </c>
      <c r="I21">
        <f t="shared" si="25"/>
        <v>142.63999999999999</v>
      </c>
    </row>
    <row r="22" spans="1:29" x14ac:dyDescent="0.45">
      <c r="A22" t="s">
        <v>10</v>
      </c>
      <c r="B22" s="1">
        <f>AVERAGE(B$19:B$21)</f>
        <v>18.373333333333335</v>
      </c>
      <c r="C22" s="1">
        <f t="shared" ref="C22:I22" si="26">AVERAGE(C$19:C$21)</f>
        <v>12.216666666666667</v>
      </c>
      <c r="D22" s="1">
        <f t="shared" si="26"/>
        <v>0.8933333333333332</v>
      </c>
      <c r="E22" s="1">
        <f t="shared" si="26"/>
        <v>1.4000000000000001</v>
      </c>
      <c r="F22" s="1">
        <f t="shared" si="26"/>
        <v>15.413333333333332</v>
      </c>
      <c r="G22" s="1">
        <f t="shared" si="26"/>
        <v>21.36</v>
      </c>
      <c r="H22" s="1">
        <f t="shared" si="26"/>
        <v>52.44</v>
      </c>
      <c r="I22" s="1">
        <f t="shared" si="26"/>
        <v>122.09666666666665</v>
      </c>
      <c r="K22" t="s">
        <v>28</v>
      </c>
      <c r="U22" t="s">
        <v>32</v>
      </c>
    </row>
    <row r="23" spans="1:29" x14ac:dyDescent="0.45">
      <c r="A23" t="s">
        <v>11</v>
      </c>
      <c r="B23" s="1">
        <f>_xlfn.STDEV.S(B$19:B$21)</f>
        <v>5.6865308698127439</v>
      </c>
      <c r="C23" s="1">
        <f t="shared" ref="C23:I23" si="27">_xlfn.STDEV.S(C$19:C$21)</f>
        <v>6.9653738832408232</v>
      </c>
      <c r="D23" s="1">
        <f t="shared" si="27"/>
        <v>0.45003703551300472</v>
      </c>
      <c r="E23" s="1">
        <f t="shared" si="27"/>
        <v>0.37509998667022082</v>
      </c>
      <c r="F23" s="1">
        <f t="shared" si="27"/>
        <v>5.0264235131287256</v>
      </c>
      <c r="G23" s="1">
        <f t="shared" si="27"/>
        <v>13.909191205817828</v>
      </c>
      <c r="H23" s="1">
        <f t="shared" si="27"/>
        <v>1.1048981853546487</v>
      </c>
      <c r="I23" s="1">
        <f t="shared" si="27"/>
        <v>21.597718243678749</v>
      </c>
      <c r="K23" t="s">
        <v>0</v>
      </c>
      <c r="L23" t="s">
        <v>1</v>
      </c>
      <c r="M23" t="s">
        <v>3</v>
      </c>
      <c r="N23" t="s">
        <v>4</v>
      </c>
      <c r="O23" t="s">
        <v>5</v>
      </c>
      <c r="P23" t="s">
        <v>6</v>
      </c>
      <c r="Q23" t="s">
        <v>7</v>
      </c>
      <c r="R23" t="s">
        <v>8</v>
      </c>
      <c r="S23" t="s">
        <v>9</v>
      </c>
      <c r="U23" t="s">
        <v>0</v>
      </c>
      <c r="V23" t="s">
        <v>1</v>
      </c>
      <c r="W23" t="s">
        <v>3</v>
      </c>
      <c r="X23" t="s">
        <v>4</v>
      </c>
      <c r="Y23" t="s">
        <v>5</v>
      </c>
      <c r="Z23" t="s">
        <v>6</v>
      </c>
      <c r="AA23" t="s">
        <v>7</v>
      </c>
      <c r="AB23" t="s">
        <v>8</v>
      </c>
      <c r="AC23" t="s">
        <v>9</v>
      </c>
    </row>
    <row r="24" spans="1:29" x14ac:dyDescent="0.45">
      <c r="K24">
        <v>1</v>
      </c>
      <c r="L24" s="1">
        <f>AVERAGE(B81:B83)</f>
        <v>13.030000000000001</v>
      </c>
      <c r="M24" s="1">
        <f t="shared" ref="M24:S24" si="28">AVERAGE(C81:C83)</f>
        <v>12.339999999999998</v>
      </c>
      <c r="N24" s="1">
        <f t="shared" si="28"/>
        <v>1.1199999999999999</v>
      </c>
      <c r="O24" s="1">
        <f t="shared" si="28"/>
        <v>0.29333333333333333</v>
      </c>
      <c r="P24" s="1">
        <f t="shared" si="28"/>
        <v>11.85</v>
      </c>
      <c r="Q24" s="1">
        <f t="shared" si="28"/>
        <v>21.446666666666669</v>
      </c>
      <c r="R24" s="1">
        <f t="shared" si="28"/>
        <v>25.473333333333333</v>
      </c>
      <c r="S24" s="1">
        <f t="shared" si="28"/>
        <v>85.553333333333327</v>
      </c>
      <c r="U24">
        <v>1</v>
      </c>
      <c r="V24" s="1">
        <f>_xlfn.STDEV.S(B81:B83)</f>
        <v>15.768630251229812</v>
      </c>
      <c r="W24" s="1">
        <f t="shared" ref="W24:AC24" si="29">_xlfn.STDEV.S(C81:C83)</f>
        <v>11.279738472145533</v>
      </c>
      <c r="X24" s="1">
        <f t="shared" si="29"/>
        <v>0.26000000000000018</v>
      </c>
      <c r="Y24" s="1">
        <f t="shared" si="29"/>
        <v>0.16653327995729061</v>
      </c>
      <c r="Z24" s="1">
        <f t="shared" si="29"/>
        <v>4.4517749269252169</v>
      </c>
      <c r="AA24" s="1">
        <f t="shared" si="29"/>
        <v>23.795063213476304</v>
      </c>
      <c r="AB24" s="1">
        <f t="shared" si="29"/>
        <v>1.2611634839834744</v>
      </c>
      <c r="AC24" s="1">
        <f t="shared" si="29"/>
        <v>28.057195749634964</v>
      </c>
    </row>
    <row r="25" spans="1:29" x14ac:dyDescent="0.45">
      <c r="K25">
        <v>2</v>
      </c>
      <c r="L25" s="1">
        <f>AVERAGE(B89:B91)</f>
        <v>4.45</v>
      </c>
      <c r="M25" s="1">
        <f t="shared" ref="M25:S25" si="30">AVERAGE(C89:C91)</f>
        <v>12.6</v>
      </c>
      <c r="N25" s="1">
        <f t="shared" si="30"/>
        <v>1.1200000000000001</v>
      </c>
      <c r="O25" s="1">
        <f t="shared" si="30"/>
        <v>0.28333333333333333</v>
      </c>
      <c r="P25" s="1">
        <f t="shared" si="30"/>
        <v>7.6566666666666663</v>
      </c>
      <c r="Q25" s="1">
        <f t="shared" si="30"/>
        <v>5.4766666666666666</v>
      </c>
      <c r="R25" s="1">
        <f t="shared" si="30"/>
        <v>20.786666666666665</v>
      </c>
      <c r="S25" s="1">
        <f t="shared" si="30"/>
        <v>52.373333333333335</v>
      </c>
      <c r="U25">
        <v>2</v>
      </c>
      <c r="V25" s="1">
        <f>_xlfn.STDEV.S(B89:B91)</f>
        <v>3.5779742872189564</v>
      </c>
      <c r="W25" s="1">
        <f t="shared" ref="W25:AC25" si="31">_xlfn.STDEV.S(C89:C91)</f>
        <v>13.907203169580866</v>
      </c>
      <c r="X25" s="1">
        <f t="shared" si="31"/>
        <v>0.42332020977033452</v>
      </c>
      <c r="Y25" s="1">
        <f t="shared" si="31"/>
        <v>0.11930353445448853</v>
      </c>
      <c r="Z25" s="1">
        <f t="shared" si="31"/>
        <v>7.9431500888081761</v>
      </c>
      <c r="AA25" s="1">
        <f t="shared" si="31"/>
        <v>3.7175439921180944</v>
      </c>
      <c r="AB25" s="1">
        <f t="shared" si="31"/>
        <v>10.848660439581158</v>
      </c>
      <c r="AC25" s="1">
        <f t="shared" si="31"/>
        <v>32.729833994894214</v>
      </c>
    </row>
    <row r="26" spans="1:29" x14ac:dyDescent="0.45">
      <c r="K26">
        <v>3</v>
      </c>
      <c r="L26" s="1">
        <f>AVERAGE(B97:B99)</f>
        <v>4.3833333333333337</v>
      </c>
      <c r="M26" s="1">
        <f t="shared" ref="M26:S26" si="32">AVERAGE(C97:C99)</f>
        <v>2.7833333333333337</v>
      </c>
      <c r="N26" s="1">
        <f t="shared" si="32"/>
        <v>1.2333333333333334</v>
      </c>
      <c r="O26" s="1">
        <f t="shared" si="32"/>
        <v>0.44</v>
      </c>
      <c r="P26" s="1">
        <f t="shared" si="32"/>
        <v>6.5966666666666667</v>
      </c>
      <c r="Q26" s="1">
        <f t="shared" si="32"/>
        <v>4.9399999999999995</v>
      </c>
      <c r="R26" s="1">
        <f t="shared" si="32"/>
        <v>18.559999999999999</v>
      </c>
      <c r="S26" s="1">
        <f t="shared" si="32"/>
        <v>38.936666666666667</v>
      </c>
      <c r="U26">
        <v>3</v>
      </c>
      <c r="V26" s="1">
        <f>_xlfn.STDEV.S(B97:B99)</f>
        <v>4.0651240243482523</v>
      </c>
      <c r="W26" s="1">
        <f t="shared" ref="W26:AC26" si="33">_xlfn.STDEV.S(C97:C99)</f>
        <v>0.58790588816011347</v>
      </c>
      <c r="X26" s="1">
        <f t="shared" si="33"/>
        <v>0.73002283069321416</v>
      </c>
      <c r="Y26" s="1">
        <f t="shared" si="33"/>
        <v>0.23579652245103178</v>
      </c>
      <c r="Z26" s="1">
        <f t="shared" si="33"/>
        <v>5.7902878454644497</v>
      </c>
      <c r="AA26" s="1">
        <f t="shared" si="33"/>
        <v>3.9309540826623763</v>
      </c>
      <c r="AB26" s="1">
        <f t="shared" si="33"/>
        <v>15.515012085074252</v>
      </c>
      <c r="AC26" s="1">
        <f t="shared" si="33"/>
        <v>30.207440032768968</v>
      </c>
    </row>
    <row r="27" spans="1:29" x14ac:dyDescent="0.45">
      <c r="A27" t="s">
        <v>15</v>
      </c>
    </row>
    <row r="28" spans="1:29" x14ac:dyDescent="0.45">
      <c r="A28" t="s">
        <v>14</v>
      </c>
      <c r="B28" t="s">
        <v>1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</row>
    <row r="29" spans="1:29" x14ac:dyDescent="0.45">
      <c r="A29">
        <v>1</v>
      </c>
      <c r="B29">
        <v>46.28</v>
      </c>
      <c r="C29">
        <v>18.23</v>
      </c>
      <c r="D29">
        <v>4.3499999999999996</v>
      </c>
      <c r="E29">
        <v>1.66</v>
      </c>
      <c r="F29">
        <v>35.590000000000003</v>
      </c>
      <c r="G29">
        <v>48.03</v>
      </c>
      <c r="H29">
        <v>54.33</v>
      </c>
      <c r="I29">
        <f>SUM(B29:H29)</f>
        <v>208.46999999999997</v>
      </c>
    </row>
    <row r="30" spans="1:29" x14ac:dyDescent="0.45">
      <c r="A30">
        <v>2</v>
      </c>
      <c r="B30">
        <v>5.86</v>
      </c>
      <c r="C30">
        <v>4.6500000000000004</v>
      </c>
      <c r="D30">
        <v>1.48</v>
      </c>
      <c r="E30">
        <v>0.32</v>
      </c>
      <c r="F30">
        <v>3.16</v>
      </c>
      <c r="G30">
        <v>8.56</v>
      </c>
      <c r="H30">
        <v>38.03</v>
      </c>
      <c r="I30">
        <f t="shared" ref="I30:I31" si="34">SUM(B30:H30)</f>
        <v>62.06</v>
      </c>
    </row>
    <row r="31" spans="1:29" x14ac:dyDescent="0.45">
      <c r="A31">
        <v>3</v>
      </c>
      <c r="B31">
        <v>0.31</v>
      </c>
      <c r="C31">
        <v>0.4</v>
      </c>
      <c r="D31">
        <v>0.95</v>
      </c>
      <c r="E31">
        <v>0.12</v>
      </c>
      <c r="F31">
        <v>1.87</v>
      </c>
      <c r="G31">
        <v>1.35</v>
      </c>
      <c r="H31">
        <v>49.42</v>
      </c>
      <c r="I31">
        <f t="shared" si="34"/>
        <v>54.42</v>
      </c>
    </row>
    <row r="32" spans="1:29" x14ac:dyDescent="0.45">
      <c r="A32" t="s">
        <v>10</v>
      </c>
      <c r="B32" s="1">
        <f>AVERAGE(B$29:B$31)</f>
        <v>17.483333333333334</v>
      </c>
      <c r="C32" s="1">
        <f t="shared" ref="C32" si="35">AVERAGE(C29:C31)</f>
        <v>7.7600000000000007</v>
      </c>
      <c r="D32" s="1">
        <f t="shared" ref="D32" si="36">AVERAGE(D29:D31)</f>
        <v>2.2600000000000002</v>
      </c>
      <c r="E32" s="1">
        <f t="shared" ref="E32" si="37">AVERAGE(E29:E31)</f>
        <v>0.70000000000000007</v>
      </c>
      <c r="F32" s="1">
        <f t="shared" ref="F32" si="38">AVERAGE(F29:F31)</f>
        <v>13.54</v>
      </c>
      <c r="G32" s="1">
        <f t="shared" ref="G32" si="39">AVERAGE(G29:G31)</f>
        <v>19.313333333333336</v>
      </c>
      <c r="H32" s="1">
        <f t="shared" ref="H32" si="40">AVERAGE(H29:H31)</f>
        <v>47.26</v>
      </c>
      <c r="I32" s="1">
        <f t="shared" ref="I32" si="41">AVERAGE(I29:I31)</f>
        <v>108.31666666666666</v>
      </c>
      <c r="L32">
        <v>1</v>
      </c>
    </row>
    <row r="33" spans="1:23" x14ac:dyDescent="0.45">
      <c r="A33" t="s">
        <v>11</v>
      </c>
      <c r="B33" s="1">
        <f>_xlfn.STDEV.S(B29:B31)</f>
        <v>25.092561314726986</v>
      </c>
      <c r="C33" s="1">
        <f t="shared" ref="C33:I33" si="42">_xlfn.STDEV.S(C29:C31)</f>
        <v>9.3129640823961086</v>
      </c>
      <c r="D33" s="1">
        <f t="shared" si="42"/>
        <v>1.8292894795521013</v>
      </c>
      <c r="E33" s="1">
        <f t="shared" si="42"/>
        <v>0.83737685661833283</v>
      </c>
      <c r="F33" s="1">
        <f t="shared" si="42"/>
        <v>19.106750116123887</v>
      </c>
      <c r="G33" s="1">
        <f t="shared" si="42"/>
        <v>25.129290346791201</v>
      </c>
      <c r="H33" s="1">
        <f t="shared" si="42"/>
        <v>8.3619196360644299</v>
      </c>
      <c r="I33" s="1">
        <f>_xlfn.STDEV.S(I29:I31)</f>
        <v>86.819410464096833</v>
      </c>
    </row>
    <row r="34" spans="1:23" x14ac:dyDescent="0.45">
      <c r="W34">
        <v>2</v>
      </c>
    </row>
    <row r="35" spans="1:23" x14ac:dyDescent="0.45">
      <c r="A35" t="s">
        <v>16</v>
      </c>
    </row>
    <row r="36" spans="1:23" x14ac:dyDescent="0.45">
      <c r="A36" t="s">
        <v>14</v>
      </c>
      <c r="B36" t="s">
        <v>1</v>
      </c>
      <c r="C36" t="s">
        <v>3</v>
      </c>
      <c r="D36" t="s">
        <v>4</v>
      </c>
      <c r="E36" t="s">
        <v>5</v>
      </c>
      <c r="F36" t="s">
        <v>6</v>
      </c>
      <c r="G36" t="s">
        <v>7</v>
      </c>
      <c r="H36" t="s">
        <v>8</v>
      </c>
      <c r="I36" t="s">
        <v>9</v>
      </c>
    </row>
    <row r="37" spans="1:23" x14ac:dyDescent="0.45">
      <c r="A37">
        <v>1</v>
      </c>
      <c r="B37">
        <v>18.23</v>
      </c>
      <c r="C37">
        <v>4.3600000000000003</v>
      </c>
      <c r="D37">
        <v>35.590000000000003</v>
      </c>
      <c r="E37">
        <v>54.33</v>
      </c>
      <c r="F37">
        <v>49.03</v>
      </c>
      <c r="G37">
        <v>8.2899999999999991</v>
      </c>
      <c r="H37">
        <v>53.5</v>
      </c>
      <c r="I37">
        <f>SUM(B37:H37)</f>
        <v>223.33</v>
      </c>
    </row>
    <row r="38" spans="1:23" x14ac:dyDescent="0.45">
      <c r="A38">
        <v>2</v>
      </c>
      <c r="B38">
        <v>17.5</v>
      </c>
      <c r="C38">
        <v>10.02</v>
      </c>
      <c r="D38">
        <v>1.86</v>
      </c>
      <c r="E38" t="s">
        <v>18</v>
      </c>
      <c r="F38">
        <v>28.25</v>
      </c>
      <c r="G38">
        <v>16.86</v>
      </c>
      <c r="H38">
        <v>56.09</v>
      </c>
      <c r="I38">
        <f t="shared" ref="I38:I39" si="43">SUM(B38:H38)</f>
        <v>130.57999999999998</v>
      </c>
    </row>
    <row r="39" spans="1:23" x14ac:dyDescent="0.45">
      <c r="A39">
        <v>3</v>
      </c>
      <c r="B39">
        <v>1.04</v>
      </c>
      <c r="C39">
        <v>3.38</v>
      </c>
      <c r="D39">
        <v>0.99</v>
      </c>
      <c r="E39">
        <v>0.23</v>
      </c>
      <c r="F39">
        <v>2.7</v>
      </c>
      <c r="G39">
        <v>7.36</v>
      </c>
      <c r="H39">
        <v>51.77</v>
      </c>
      <c r="I39">
        <f t="shared" si="43"/>
        <v>67.47</v>
      </c>
    </row>
    <row r="40" spans="1:23" x14ac:dyDescent="0.45">
      <c r="A40" t="s">
        <v>10</v>
      </c>
      <c r="B40" s="1">
        <f>AVERAGE(B37:B39)</f>
        <v>12.256666666666668</v>
      </c>
      <c r="C40" s="1">
        <f t="shared" ref="C40" si="44">AVERAGE(C37:C39)</f>
        <v>5.919999999999999</v>
      </c>
      <c r="D40" s="1">
        <f t="shared" ref="D40" si="45">AVERAGE(D37:D39)</f>
        <v>12.813333333333334</v>
      </c>
      <c r="E40" s="1">
        <f t="shared" ref="E40" si="46">AVERAGE(E37:E39)</f>
        <v>27.279999999999998</v>
      </c>
      <c r="F40" s="1">
        <f t="shared" ref="F40" si="47">AVERAGE(F37:F39)</f>
        <v>26.66</v>
      </c>
      <c r="G40" s="1">
        <f t="shared" ref="G40" si="48">AVERAGE(G37:G39)</f>
        <v>10.836666666666666</v>
      </c>
      <c r="H40" s="1">
        <f t="shared" ref="H40" si="49">AVERAGE(H37:H39)</f>
        <v>53.786666666666669</v>
      </c>
      <c r="I40" s="1">
        <f t="shared" ref="I40" si="50">AVERAGE(I37:I39)</f>
        <v>140.46</v>
      </c>
    </row>
    <row r="41" spans="1:23" x14ac:dyDescent="0.45">
      <c r="A41" t="s">
        <v>11</v>
      </c>
      <c r="B41" s="1">
        <f>_xlfn.STDEV.S(B37:B39)</f>
        <v>9.7207732888558454</v>
      </c>
      <c r="C41" s="1">
        <f t="shared" ref="C41:I41" si="51">_xlfn.STDEV.S(C37:C39)</f>
        <v>3.5843548931432565</v>
      </c>
      <c r="D41" s="1">
        <f t="shared" si="51"/>
        <v>19.729967899956993</v>
      </c>
      <c r="E41" s="1">
        <f t="shared" si="51"/>
        <v>38.25447686219222</v>
      </c>
      <c r="F41" s="1">
        <f t="shared" si="51"/>
        <v>23.205889338700207</v>
      </c>
      <c r="G41" s="1">
        <f t="shared" si="51"/>
        <v>5.2370443318090567</v>
      </c>
      <c r="H41" s="1">
        <f t="shared" si="51"/>
        <v>2.1742201667111209</v>
      </c>
      <c r="I41" s="1">
        <f>_xlfn.STDEV.S(I37:I39)</f>
        <v>78.398314395145022</v>
      </c>
    </row>
    <row r="43" spans="1:23" x14ac:dyDescent="0.45">
      <c r="A43" t="s">
        <v>17</v>
      </c>
    </row>
    <row r="44" spans="1:23" x14ac:dyDescent="0.45">
      <c r="A44" t="s">
        <v>14</v>
      </c>
      <c r="B44" t="s">
        <v>1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</row>
    <row r="45" spans="1:23" x14ac:dyDescent="0.45">
      <c r="A45">
        <v>1</v>
      </c>
      <c r="B45">
        <v>17.41</v>
      </c>
      <c r="C45">
        <v>20.25</v>
      </c>
      <c r="D45">
        <v>1.4</v>
      </c>
      <c r="E45">
        <v>1.39</v>
      </c>
      <c r="F45">
        <v>10.54</v>
      </c>
      <c r="G45">
        <v>19.760000000000002</v>
      </c>
      <c r="H45">
        <v>53.32</v>
      </c>
      <c r="I45">
        <f>SUM(B45:H45)</f>
        <v>124.07</v>
      </c>
    </row>
    <row r="46" spans="1:23" x14ac:dyDescent="0.45">
      <c r="A46">
        <v>2</v>
      </c>
      <c r="B46">
        <v>13.23</v>
      </c>
      <c r="C46">
        <v>8.5399999999999991</v>
      </c>
      <c r="D46">
        <v>0.54</v>
      </c>
      <c r="E46">
        <v>1.03</v>
      </c>
      <c r="F46">
        <v>15.12</v>
      </c>
      <c r="G46">
        <v>8.32</v>
      </c>
      <c r="H46">
        <v>52.8</v>
      </c>
      <c r="I46">
        <f t="shared" ref="I46:I47" si="52">SUM(B46:H46)</f>
        <v>99.58</v>
      </c>
    </row>
    <row r="47" spans="1:23" x14ac:dyDescent="0.45">
      <c r="A47">
        <v>3</v>
      </c>
      <c r="B47">
        <v>24.48</v>
      </c>
      <c r="C47">
        <v>7.66</v>
      </c>
      <c r="D47">
        <v>0.74</v>
      </c>
      <c r="E47">
        <v>1.78</v>
      </c>
      <c r="F47">
        <v>20.58</v>
      </c>
      <c r="G47">
        <v>36</v>
      </c>
      <c r="H47">
        <v>51.2</v>
      </c>
      <c r="I47">
        <f t="shared" si="52"/>
        <v>142.44</v>
      </c>
    </row>
    <row r="48" spans="1:23" x14ac:dyDescent="0.45">
      <c r="A48" t="s">
        <v>10</v>
      </c>
      <c r="B48" s="1">
        <f>AVERAGE(B45:B47)</f>
        <v>18.373333333333335</v>
      </c>
      <c r="C48" s="1">
        <f t="shared" ref="C48" si="53">AVERAGE(C45:C47)</f>
        <v>12.15</v>
      </c>
      <c r="D48" s="1">
        <f t="shared" ref="D48" si="54">AVERAGE(D45:D47)</f>
        <v>0.8933333333333332</v>
      </c>
      <c r="E48" s="1">
        <f t="shared" ref="E48" si="55">AVERAGE(E45:E47)</f>
        <v>1.4000000000000001</v>
      </c>
      <c r="F48" s="1">
        <f t="shared" ref="F48" si="56">AVERAGE(F45:F47)</f>
        <v>15.413333333333332</v>
      </c>
      <c r="G48" s="1">
        <f t="shared" ref="G48" si="57">AVERAGE(G45:G47)</f>
        <v>21.36</v>
      </c>
      <c r="H48" s="1">
        <f t="shared" ref="H48" si="58">AVERAGE(H45:H47)</f>
        <v>52.44</v>
      </c>
      <c r="I48" s="1">
        <f t="shared" ref="I48" si="59">AVERAGE(I45:I47)</f>
        <v>122.02999999999999</v>
      </c>
    </row>
    <row r="49" spans="1:22" x14ac:dyDescent="0.45">
      <c r="A49" t="s">
        <v>11</v>
      </c>
      <c r="B49" s="1">
        <f>_xlfn.STDEV.S(B45:B47)</f>
        <v>5.6865308698127439</v>
      </c>
      <c r="C49" s="1">
        <f t="shared" ref="C49:I49" si="60">_xlfn.STDEV.S(C45:C47)</f>
        <v>7.0285916085656863</v>
      </c>
      <c r="D49" s="1">
        <f t="shared" si="60"/>
        <v>0.45003703551300472</v>
      </c>
      <c r="E49" s="1">
        <f t="shared" si="60"/>
        <v>0.37509998667022082</v>
      </c>
      <c r="F49" s="1">
        <f t="shared" si="60"/>
        <v>5.0264235131287256</v>
      </c>
      <c r="G49" s="1">
        <f t="shared" si="60"/>
        <v>13.909191205817828</v>
      </c>
      <c r="H49" s="1">
        <f t="shared" si="60"/>
        <v>1.1048981853546487</v>
      </c>
      <c r="I49" s="1">
        <f>_xlfn.STDEV.S(I45:I47)</f>
        <v>21.502699830486385</v>
      </c>
    </row>
    <row r="53" spans="1:22" x14ac:dyDescent="0.45">
      <c r="A53" t="s">
        <v>19</v>
      </c>
    </row>
    <row r="54" spans="1:22" x14ac:dyDescent="0.45">
      <c r="A54" t="s">
        <v>14</v>
      </c>
      <c r="B54" t="s">
        <v>1</v>
      </c>
      <c r="C54" t="s">
        <v>3</v>
      </c>
      <c r="D54" t="s">
        <v>4</v>
      </c>
      <c r="E54" t="s">
        <v>5</v>
      </c>
      <c r="F54" t="s">
        <v>6</v>
      </c>
      <c r="G54" t="s">
        <v>7</v>
      </c>
      <c r="H54" t="s">
        <v>8</v>
      </c>
      <c r="I54" t="s">
        <v>9</v>
      </c>
    </row>
    <row r="55" spans="1:22" x14ac:dyDescent="0.45">
      <c r="A55">
        <v>1</v>
      </c>
      <c r="B55">
        <v>16.510000000000002</v>
      </c>
      <c r="C55">
        <v>6.78</v>
      </c>
      <c r="D55">
        <v>0.75</v>
      </c>
      <c r="E55">
        <v>1.07</v>
      </c>
      <c r="F55">
        <v>12.34</v>
      </c>
      <c r="G55">
        <v>15.75</v>
      </c>
      <c r="H55">
        <v>52.93</v>
      </c>
      <c r="I55">
        <f>SUM(B55:H55)</f>
        <v>106.13</v>
      </c>
    </row>
    <row r="56" spans="1:22" x14ac:dyDescent="0.45">
      <c r="A56">
        <v>2</v>
      </c>
      <c r="B56">
        <v>17.27</v>
      </c>
      <c r="C56">
        <v>4.62</v>
      </c>
      <c r="D56">
        <v>0.9</v>
      </c>
      <c r="E56">
        <v>1.73</v>
      </c>
      <c r="F56">
        <v>13.26</v>
      </c>
      <c r="G56">
        <v>15.1</v>
      </c>
      <c r="H56">
        <v>55.31</v>
      </c>
      <c r="I56">
        <f t="shared" ref="I56:I57" si="61">SUM(B56:H56)</f>
        <v>108.19</v>
      </c>
    </row>
    <row r="57" spans="1:22" x14ac:dyDescent="0.45">
      <c r="A57">
        <v>3</v>
      </c>
      <c r="B57">
        <v>27.29</v>
      </c>
      <c r="C57">
        <v>6.24</v>
      </c>
      <c r="D57">
        <v>2.77</v>
      </c>
      <c r="E57">
        <v>2.08</v>
      </c>
      <c r="F57">
        <v>18.14</v>
      </c>
      <c r="G57">
        <v>10</v>
      </c>
      <c r="H57">
        <v>54.02</v>
      </c>
      <c r="I57">
        <f t="shared" si="61"/>
        <v>120.54000000000002</v>
      </c>
    </row>
    <row r="58" spans="1:22" x14ac:dyDescent="0.45">
      <c r="A58" t="s">
        <v>10</v>
      </c>
      <c r="B58" s="1">
        <f>AVERAGE(B55:B57)</f>
        <v>20.356666666666666</v>
      </c>
      <c r="C58" s="1">
        <f t="shared" ref="C58" si="62">AVERAGE(C55:C57)</f>
        <v>5.88</v>
      </c>
      <c r="D58" s="1">
        <f t="shared" ref="D58" si="63">AVERAGE(D55:D57)</f>
        <v>1.4733333333333334</v>
      </c>
      <c r="E58" s="1">
        <f t="shared" ref="E58" si="64">AVERAGE(E55:E57)</f>
        <v>1.6266666666666667</v>
      </c>
      <c r="F58" s="1">
        <f t="shared" ref="F58" si="65">AVERAGE(F55:F57)</f>
        <v>14.58</v>
      </c>
      <c r="G58" s="1">
        <f t="shared" ref="G58" si="66">AVERAGE(G55:G57)</f>
        <v>13.616666666666667</v>
      </c>
      <c r="H58" s="1">
        <f t="shared" ref="H58" si="67">AVERAGE(H55:H57)</f>
        <v>54.086666666666673</v>
      </c>
      <c r="I58" s="1">
        <f t="shared" ref="I58" si="68">AVERAGE(I55:I57)</f>
        <v>111.62</v>
      </c>
      <c r="V58">
        <v>4</v>
      </c>
    </row>
    <row r="59" spans="1:22" x14ac:dyDescent="0.45">
      <c r="A59" t="s">
        <v>11</v>
      </c>
      <c r="B59" s="1">
        <f>_xlfn.STDEV.S(B55:B57)</f>
        <v>6.0164552132741171</v>
      </c>
      <c r="C59" s="1">
        <f t="shared" ref="C59:I59" si="69">_xlfn.STDEV.S(C55:C57)</f>
        <v>1.1240996397117133</v>
      </c>
      <c r="D59" s="1">
        <f t="shared" si="69"/>
        <v>1.1254480589229046</v>
      </c>
      <c r="E59" s="1">
        <f t="shared" si="69"/>
        <v>0.51286775423429998</v>
      </c>
      <c r="F59" s="1">
        <f t="shared" si="69"/>
        <v>3.1171782111390387</v>
      </c>
      <c r="G59" s="1">
        <f t="shared" si="69"/>
        <v>3.1489416211376953</v>
      </c>
      <c r="H59" s="1">
        <f t="shared" si="69"/>
        <v>1.191399737004057</v>
      </c>
      <c r="I59" s="1">
        <f>_xlfn.STDEV.S(I55:I57)</f>
        <v>7.7933112346421929</v>
      </c>
      <c r="L59">
        <v>3</v>
      </c>
    </row>
    <row r="61" spans="1:22" x14ac:dyDescent="0.45">
      <c r="A61" t="s">
        <v>20</v>
      </c>
    </row>
    <row r="62" spans="1:22" x14ac:dyDescent="0.45">
      <c r="A62" t="s">
        <v>14</v>
      </c>
      <c r="B62" t="s">
        <v>1</v>
      </c>
      <c r="C62" t="s">
        <v>3</v>
      </c>
      <c r="D62" t="s">
        <v>4</v>
      </c>
      <c r="E62" t="s">
        <v>5</v>
      </c>
      <c r="F62" t="s">
        <v>6</v>
      </c>
      <c r="G62" t="s">
        <v>7</v>
      </c>
      <c r="H62" t="s">
        <v>8</v>
      </c>
      <c r="I62" t="s">
        <v>9</v>
      </c>
    </row>
    <row r="63" spans="1:22" x14ac:dyDescent="0.45">
      <c r="A63">
        <v>1</v>
      </c>
      <c r="B63">
        <v>13.45</v>
      </c>
      <c r="C63">
        <v>2.84</v>
      </c>
      <c r="D63">
        <v>1.1599999999999999</v>
      </c>
      <c r="E63">
        <v>0.8</v>
      </c>
      <c r="F63">
        <v>13.41</v>
      </c>
      <c r="G63">
        <v>6.82</v>
      </c>
      <c r="H63">
        <v>37.520000000000003</v>
      </c>
      <c r="I63">
        <f>SUM(B63:H63)</f>
        <v>76</v>
      </c>
    </row>
    <row r="64" spans="1:22" x14ac:dyDescent="0.45">
      <c r="A64">
        <v>2</v>
      </c>
      <c r="B64">
        <v>20.68</v>
      </c>
      <c r="C64">
        <v>9.3000000000000007</v>
      </c>
      <c r="D64">
        <v>11.81</v>
      </c>
      <c r="E64">
        <v>1.1599999999999999</v>
      </c>
      <c r="F64">
        <v>6.67</v>
      </c>
      <c r="G64">
        <v>11.07</v>
      </c>
      <c r="H64">
        <v>52.13</v>
      </c>
      <c r="I64">
        <f t="shared" ref="I64:I65" si="70">SUM(B64:H64)</f>
        <v>112.82</v>
      </c>
    </row>
    <row r="65" spans="1:9" x14ac:dyDescent="0.45">
      <c r="A65">
        <v>3</v>
      </c>
      <c r="B65">
        <v>18.57</v>
      </c>
      <c r="C65">
        <v>14.13</v>
      </c>
      <c r="D65">
        <v>1.0900000000000001</v>
      </c>
      <c r="E65">
        <v>1.6</v>
      </c>
      <c r="F65">
        <v>29.94</v>
      </c>
      <c r="G65">
        <v>10.59</v>
      </c>
      <c r="H65">
        <v>52.21</v>
      </c>
      <c r="I65">
        <f t="shared" si="70"/>
        <v>128.13000000000002</v>
      </c>
    </row>
    <row r="66" spans="1:9" x14ac:dyDescent="0.45">
      <c r="A66" t="s">
        <v>10</v>
      </c>
      <c r="B66" s="1">
        <f>AVERAGE(B63:B65)</f>
        <v>17.566666666666666</v>
      </c>
      <c r="C66" s="1">
        <f t="shared" ref="C66" si="71">AVERAGE(C63:C65)</f>
        <v>8.7566666666666677</v>
      </c>
      <c r="D66" s="1">
        <f t="shared" ref="D66" si="72">AVERAGE(D63:D65)</f>
        <v>4.6866666666666665</v>
      </c>
      <c r="E66" s="1">
        <f t="shared" ref="E66" si="73">AVERAGE(E63:E65)</f>
        <v>1.1866666666666668</v>
      </c>
      <c r="F66" s="1">
        <f t="shared" ref="F66" si="74">AVERAGE(F63:F65)</f>
        <v>16.673333333333332</v>
      </c>
      <c r="G66" s="1">
        <f t="shared" ref="G66" si="75">AVERAGE(G63:G65)</f>
        <v>9.4933333333333341</v>
      </c>
      <c r="H66" s="1">
        <f t="shared" ref="H66" si="76">AVERAGE(H63:H65)</f>
        <v>47.286666666666669</v>
      </c>
      <c r="I66" s="1">
        <f t="shared" ref="I66" si="77">AVERAGE(I63:I65)</f>
        <v>105.65000000000002</v>
      </c>
    </row>
    <row r="67" spans="1:9" x14ac:dyDescent="0.45">
      <c r="A67" t="s">
        <v>11</v>
      </c>
      <c r="B67" s="1">
        <f>_xlfn.STDEV.S(B63:B65)</f>
        <v>3.7179609106785065</v>
      </c>
      <c r="C67" s="1">
        <f t="shared" ref="C67:I67" si="78">_xlfn.STDEV.S(C63:C65)</f>
        <v>5.6645770657069647</v>
      </c>
      <c r="D67" s="1">
        <f t="shared" si="78"/>
        <v>6.1690869124476855</v>
      </c>
      <c r="E67" s="1">
        <f t="shared" si="78"/>
        <v>0.4006661120351126</v>
      </c>
      <c r="F67" s="1">
        <f t="shared" si="78"/>
        <v>11.973313381572099</v>
      </c>
      <c r="G67" s="1">
        <f t="shared" si="78"/>
        <v>2.3275810046770351</v>
      </c>
      <c r="H67" s="1">
        <f t="shared" si="78"/>
        <v>8.4582760260783996</v>
      </c>
      <c r="I67" s="1">
        <f>_xlfn.STDEV.S(I63:I65)</f>
        <v>26.794419195048768</v>
      </c>
    </row>
    <row r="69" spans="1:9" x14ac:dyDescent="0.45">
      <c r="A69" t="s">
        <v>21</v>
      </c>
    </row>
    <row r="70" spans="1:9" x14ac:dyDescent="0.45">
      <c r="A70" t="s">
        <v>14</v>
      </c>
      <c r="B70" t="s">
        <v>1</v>
      </c>
      <c r="C70" t="s">
        <v>3</v>
      </c>
      <c r="D70" t="s">
        <v>4</v>
      </c>
      <c r="E70" t="s">
        <v>5</v>
      </c>
      <c r="F70" t="s">
        <v>6</v>
      </c>
      <c r="G70" t="s">
        <v>7</v>
      </c>
      <c r="H70" t="s">
        <v>8</v>
      </c>
      <c r="I70" t="s">
        <v>9</v>
      </c>
    </row>
    <row r="71" spans="1:9" x14ac:dyDescent="0.45">
      <c r="A71">
        <v>1</v>
      </c>
      <c r="B71">
        <v>5.26</v>
      </c>
      <c r="C71">
        <v>8.3699999999999992</v>
      </c>
      <c r="D71">
        <v>36.130000000000003</v>
      </c>
      <c r="E71">
        <v>0.49</v>
      </c>
      <c r="F71">
        <v>8.5399999999999991</v>
      </c>
      <c r="G71">
        <v>3.07</v>
      </c>
      <c r="H71">
        <v>13.81</v>
      </c>
      <c r="I71">
        <f>SUM(B71:H71)</f>
        <v>75.67</v>
      </c>
    </row>
    <row r="72" spans="1:9" x14ac:dyDescent="0.45">
      <c r="A72">
        <v>2</v>
      </c>
      <c r="B72">
        <v>12.92</v>
      </c>
      <c r="C72">
        <v>4.75</v>
      </c>
      <c r="D72">
        <v>2.08</v>
      </c>
      <c r="E72">
        <v>1.05</v>
      </c>
      <c r="F72">
        <v>12.79</v>
      </c>
      <c r="G72">
        <v>13.76</v>
      </c>
      <c r="H72">
        <v>35.9</v>
      </c>
      <c r="I72">
        <f t="shared" ref="I72:I73" si="79">SUM(B72:H72)</f>
        <v>83.25</v>
      </c>
    </row>
    <row r="73" spans="1:9" x14ac:dyDescent="0.45">
      <c r="A73">
        <v>3</v>
      </c>
      <c r="B73">
        <v>25.39</v>
      </c>
      <c r="C73">
        <v>5.45</v>
      </c>
      <c r="D73">
        <v>0.71</v>
      </c>
      <c r="E73">
        <v>1.97</v>
      </c>
      <c r="F73">
        <v>30.06</v>
      </c>
      <c r="G73">
        <v>20.100000000000001</v>
      </c>
      <c r="H73">
        <v>50.89</v>
      </c>
      <c r="I73">
        <f t="shared" si="79"/>
        <v>134.57</v>
      </c>
    </row>
    <row r="74" spans="1:9" x14ac:dyDescent="0.45">
      <c r="A74" t="s">
        <v>10</v>
      </c>
      <c r="B74" s="1">
        <f>AVERAGE(B71:B73)</f>
        <v>14.523333333333333</v>
      </c>
      <c r="C74" s="1">
        <f t="shared" ref="C74" si="80">AVERAGE(C71:C73)</f>
        <v>6.19</v>
      </c>
      <c r="D74" s="1">
        <f t="shared" ref="D74" si="81">AVERAGE(D71:D73)</f>
        <v>12.973333333333334</v>
      </c>
      <c r="E74" s="1">
        <f t="shared" ref="E74" si="82">AVERAGE(E71:E73)</f>
        <v>1.17</v>
      </c>
      <c r="F74" s="1">
        <f t="shared" ref="F74" si="83">AVERAGE(F71:F73)</f>
        <v>17.13</v>
      </c>
      <c r="G74" s="1">
        <f t="shared" ref="G74" si="84">AVERAGE(G71:G73)</f>
        <v>12.31</v>
      </c>
      <c r="H74" s="1">
        <f t="shared" ref="H74" si="85">AVERAGE(H71:H73)</f>
        <v>33.533333333333331</v>
      </c>
      <c r="I74" s="1">
        <f t="shared" ref="I74" si="86">AVERAGE(I71:I73)</f>
        <v>97.83</v>
      </c>
    </row>
    <row r="75" spans="1:9" x14ac:dyDescent="0.45">
      <c r="A75" t="s">
        <v>11</v>
      </c>
      <c r="B75" s="1">
        <f>_xlfn.STDEV.S(B71:B73)</f>
        <v>10.160326438325363</v>
      </c>
      <c r="C75" s="1">
        <f t="shared" ref="C75:I75" si="87">_xlfn.STDEV.S(C71:C73)</f>
        <v>1.920104163841116</v>
      </c>
      <c r="D75" s="1">
        <f t="shared" si="87"/>
        <v>20.06595707493997</v>
      </c>
      <c r="E75" s="1">
        <f t="shared" si="87"/>
        <v>0.74726166769077629</v>
      </c>
      <c r="F75" s="1">
        <f t="shared" si="87"/>
        <v>11.3975567557262</v>
      </c>
      <c r="G75" s="1">
        <f t="shared" si="87"/>
        <v>8.6070959097711928</v>
      </c>
      <c r="H75" s="1">
        <f t="shared" si="87"/>
        <v>18.652947041508845</v>
      </c>
      <c r="I75" s="1">
        <f>_xlfn.STDEV.S(I71:I73)</f>
        <v>32.042702757414155</v>
      </c>
    </row>
    <row r="79" spans="1:9" x14ac:dyDescent="0.45">
      <c r="A79" t="s">
        <v>22</v>
      </c>
    </row>
    <row r="80" spans="1:9" x14ac:dyDescent="0.45">
      <c r="A80" t="s">
        <v>14</v>
      </c>
      <c r="B80" t="s">
        <v>1</v>
      </c>
      <c r="C80" t="s">
        <v>3</v>
      </c>
      <c r="D80" t="s">
        <v>4</v>
      </c>
      <c r="E80" t="s">
        <v>5</v>
      </c>
      <c r="F80" t="s">
        <v>6</v>
      </c>
      <c r="G80" t="s">
        <v>7</v>
      </c>
      <c r="H80" t="s">
        <v>8</v>
      </c>
      <c r="I80" t="s">
        <v>9</v>
      </c>
    </row>
    <row r="81" spans="1:9" x14ac:dyDescent="0.45">
      <c r="A81">
        <v>1</v>
      </c>
      <c r="B81">
        <v>0.39</v>
      </c>
      <c r="C81">
        <v>2.29</v>
      </c>
      <c r="D81">
        <v>1.26</v>
      </c>
      <c r="E81">
        <v>0.16</v>
      </c>
      <c r="F81">
        <v>14.36</v>
      </c>
      <c r="G81">
        <v>8.69</v>
      </c>
      <c r="H81">
        <v>26.12</v>
      </c>
      <c r="I81">
        <f>SUM(B81:H81)</f>
        <v>53.269999999999996</v>
      </c>
    </row>
    <row r="82" spans="1:9" x14ac:dyDescent="0.45">
      <c r="A82">
        <v>2</v>
      </c>
      <c r="B82">
        <v>8</v>
      </c>
      <c r="C82">
        <v>10.19</v>
      </c>
      <c r="D82">
        <v>1.28</v>
      </c>
      <c r="E82">
        <v>0.24</v>
      </c>
      <c r="F82">
        <v>6.71</v>
      </c>
      <c r="G82">
        <v>48.9</v>
      </c>
      <c r="H82">
        <v>24.02</v>
      </c>
      <c r="I82">
        <f t="shared" ref="I82:I83" si="88">SUM(B82:H82)</f>
        <v>99.339999999999989</v>
      </c>
    </row>
    <row r="83" spans="1:9" x14ac:dyDescent="0.45">
      <c r="A83">
        <v>3</v>
      </c>
      <c r="B83">
        <v>30.7</v>
      </c>
      <c r="C83">
        <v>24.54</v>
      </c>
      <c r="D83">
        <v>0.82</v>
      </c>
      <c r="E83">
        <v>0.48</v>
      </c>
      <c r="F83">
        <v>14.48</v>
      </c>
      <c r="G83">
        <v>6.75</v>
      </c>
      <c r="H83">
        <v>26.28</v>
      </c>
      <c r="I83">
        <f t="shared" si="88"/>
        <v>104.05</v>
      </c>
    </row>
    <row r="84" spans="1:9" x14ac:dyDescent="0.45">
      <c r="A84" t="s">
        <v>10</v>
      </c>
      <c r="B84" s="1">
        <f>AVERAGE(B81:B83)</f>
        <v>13.030000000000001</v>
      </c>
      <c r="C84" s="1">
        <f t="shared" ref="C84" si="89">AVERAGE(C81:C83)</f>
        <v>12.339999999999998</v>
      </c>
      <c r="D84" s="1">
        <f t="shared" ref="D84" si="90">AVERAGE(D81:D83)</f>
        <v>1.1199999999999999</v>
      </c>
      <c r="E84" s="1">
        <f t="shared" ref="E84" si="91">AVERAGE(E81:E83)</f>
        <v>0.29333333333333333</v>
      </c>
      <c r="F84" s="1">
        <f t="shared" ref="F84" si="92">AVERAGE(F81:F83)</f>
        <v>11.85</v>
      </c>
      <c r="G84" s="1">
        <f t="shared" ref="G84" si="93">AVERAGE(G81:G83)</f>
        <v>21.446666666666669</v>
      </c>
      <c r="H84" s="1">
        <f t="shared" ref="H84" si="94">AVERAGE(H81:H83)</f>
        <v>25.473333333333333</v>
      </c>
      <c r="I84" s="1">
        <f t="shared" ref="I84" si="95">AVERAGE(I81:I83)</f>
        <v>85.553333333333327</v>
      </c>
    </row>
    <row r="85" spans="1:9" x14ac:dyDescent="0.45">
      <c r="A85" t="s">
        <v>11</v>
      </c>
      <c r="B85" s="1">
        <f>_xlfn.STDEV.S(B81:B83)</f>
        <v>15.768630251229812</v>
      </c>
      <c r="C85" s="1">
        <f t="shared" ref="C85:I85" si="96">_xlfn.STDEV.S(C81:C83)</f>
        <v>11.279738472145533</v>
      </c>
      <c r="D85" s="1">
        <f t="shared" si="96"/>
        <v>0.26000000000000018</v>
      </c>
      <c r="E85" s="1">
        <f t="shared" si="96"/>
        <v>0.16653327995729061</v>
      </c>
      <c r="F85" s="1">
        <f t="shared" si="96"/>
        <v>4.4517749269252169</v>
      </c>
      <c r="G85" s="1">
        <f t="shared" si="96"/>
        <v>23.795063213476304</v>
      </c>
      <c r="H85" s="1">
        <f t="shared" si="96"/>
        <v>1.2611634839834744</v>
      </c>
      <c r="I85" s="1">
        <f>_xlfn.STDEV.S(I81:I83)</f>
        <v>28.057195749634964</v>
      </c>
    </row>
    <row r="87" spans="1:9" x14ac:dyDescent="0.45">
      <c r="A87" t="s">
        <v>23</v>
      </c>
    </row>
    <row r="88" spans="1:9" x14ac:dyDescent="0.45">
      <c r="A88" t="s">
        <v>14</v>
      </c>
      <c r="B88" t="s">
        <v>1</v>
      </c>
      <c r="C88" t="s">
        <v>3</v>
      </c>
      <c r="D88" t="s">
        <v>4</v>
      </c>
      <c r="E88" t="s">
        <v>5</v>
      </c>
      <c r="F88" t="s">
        <v>6</v>
      </c>
      <c r="G88" t="s">
        <v>7</v>
      </c>
      <c r="H88" t="s">
        <v>8</v>
      </c>
      <c r="I88" t="s">
        <v>9</v>
      </c>
    </row>
    <row r="89" spans="1:9" x14ac:dyDescent="0.45">
      <c r="A89">
        <v>1</v>
      </c>
      <c r="B89">
        <v>5.48</v>
      </c>
      <c r="C89">
        <v>28.37</v>
      </c>
      <c r="D89">
        <v>0.8</v>
      </c>
      <c r="E89">
        <v>0.32</v>
      </c>
      <c r="F89">
        <v>4.72</v>
      </c>
      <c r="G89">
        <v>9.0500000000000007</v>
      </c>
      <c r="H89">
        <v>28.37</v>
      </c>
      <c r="I89">
        <f>SUM(B89:H89)</f>
        <v>77.11</v>
      </c>
    </row>
    <row r="90" spans="1:9" x14ac:dyDescent="0.45">
      <c r="A90">
        <v>2</v>
      </c>
      <c r="B90">
        <v>0.47</v>
      </c>
      <c r="C90">
        <v>2.09</v>
      </c>
      <c r="D90">
        <v>0.96</v>
      </c>
      <c r="E90">
        <v>0.15</v>
      </c>
      <c r="F90">
        <v>1.6</v>
      </c>
      <c r="G90">
        <v>1.63</v>
      </c>
      <c r="H90">
        <v>8.36</v>
      </c>
      <c r="I90">
        <f t="shared" ref="I90:I91" si="97">SUM(B90:H90)</f>
        <v>15.259999999999998</v>
      </c>
    </row>
    <row r="91" spans="1:9" x14ac:dyDescent="0.45">
      <c r="A91">
        <v>3</v>
      </c>
      <c r="B91">
        <v>7.4</v>
      </c>
      <c r="C91">
        <v>7.34</v>
      </c>
      <c r="D91">
        <v>1.6</v>
      </c>
      <c r="E91">
        <v>0.38</v>
      </c>
      <c r="F91">
        <v>16.649999999999999</v>
      </c>
      <c r="G91">
        <v>5.75</v>
      </c>
      <c r="H91">
        <v>25.63</v>
      </c>
      <c r="I91">
        <f t="shared" si="97"/>
        <v>64.75</v>
      </c>
    </row>
    <row r="92" spans="1:9" x14ac:dyDescent="0.45">
      <c r="A92" t="s">
        <v>10</v>
      </c>
      <c r="B92" s="1">
        <f>AVERAGE(B89:B91)</f>
        <v>4.45</v>
      </c>
      <c r="C92" s="1">
        <f t="shared" ref="C92" si="98">AVERAGE(C89:C91)</f>
        <v>12.6</v>
      </c>
      <c r="D92" s="1">
        <f t="shared" ref="D92" si="99">AVERAGE(D89:D91)</f>
        <v>1.1200000000000001</v>
      </c>
      <c r="E92" s="1">
        <f t="shared" ref="E92" si="100">AVERAGE(E89:E91)</f>
        <v>0.28333333333333333</v>
      </c>
      <c r="F92" s="1">
        <f t="shared" ref="F92" si="101">AVERAGE(F89:F91)</f>
        <v>7.6566666666666663</v>
      </c>
      <c r="G92" s="1">
        <f t="shared" ref="G92" si="102">AVERAGE(G89:G91)</f>
        <v>5.4766666666666666</v>
      </c>
      <c r="H92" s="1">
        <f t="shared" ref="H92" si="103">AVERAGE(H89:H91)</f>
        <v>20.786666666666665</v>
      </c>
      <c r="I92" s="1">
        <f t="shared" ref="I92" si="104">AVERAGE(I89:I91)</f>
        <v>52.373333333333335</v>
      </c>
    </row>
    <row r="93" spans="1:9" x14ac:dyDescent="0.45">
      <c r="A93" t="s">
        <v>11</v>
      </c>
      <c r="B93" s="1">
        <f>_xlfn.STDEV.S(B89:B91)</f>
        <v>3.5779742872189564</v>
      </c>
      <c r="C93" s="1">
        <f t="shared" ref="C93:I93" si="105">_xlfn.STDEV.S(C89:C91)</f>
        <v>13.907203169580866</v>
      </c>
      <c r="D93" s="1">
        <f t="shared" si="105"/>
        <v>0.42332020977033452</v>
      </c>
      <c r="E93" s="1">
        <f t="shared" si="105"/>
        <v>0.11930353445448853</v>
      </c>
      <c r="F93" s="1">
        <f t="shared" si="105"/>
        <v>7.9431500888081761</v>
      </c>
      <c r="G93" s="1">
        <f t="shared" si="105"/>
        <v>3.7175439921180944</v>
      </c>
      <c r="H93" s="1">
        <f t="shared" si="105"/>
        <v>10.848660439581158</v>
      </c>
      <c r="I93" s="1">
        <f>_xlfn.STDEV.S(I89:I91)</f>
        <v>32.729833994894214</v>
      </c>
    </row>
    <row r="95" spans="1:9" x14ac:dyDescent="0.45">
      <c r="A95" t="s">
        <v>24</v>
      </c>
    </row>
    <row r="96" spans="1:9" x14ac:dyDescent="0.45">
      <c r="A96" t="s">
        <v>14</v>
      </c>
      <c r="B96" t="s">
        <v>1</v>
      </c>
      <c r="C96" t="s">
        <v>3</v>
      </c>
      <c r="D96" t="s">
        <v>4</v>
      </c>
      <c r="E96" t="s">
        <v>5</v>
      </c>
      <c r="F96" t="s">
        <v>6</v>
      </c>
      <c r="G96" t="s">
        <v>7</v>
      </c>
      <c r="H96" t="s">
        <v>8</v>
      </c>
      <c r="I96" t="s">
        <v>9</v>
      </c>
    </row>
    <row r="97" spans="1:9" x14ac:dyDescent="0.45">
      <c r="A97">
        <v>1</v>
      </c>
      <c r="B97">
        <v>8.43</v>
      </c>
      <c r="C97">
        <v>3.24</v>
      </c>
      <c r="D97">
        <v>1.24</v>
      </c>
      <c r="E97">
        <v>0.64</v>
      </c>
      <c r="F97">
        <v>11.57</v>
      </c>
      <c r="G97">
        <v>6.84</v>
      </c>
      <c r="H97">
        <v>28.9</v>
      </c>
      <c r="I97">
        <f>SUM(B97:H97)</f>
        <v>60.86</v>
      </c>
    </row>
    <row r="98" spans="1:9" x14ac:dyDescent="0.45">
      <c r="A98">
        <v>2</v>
      </c>
      <c r="B98">
        <v>4.42</v>
      </c>
      <c r="C98">
        <v>2.99</v>
      </c>
      <c r="D98">
        <v>1.96</v>
      </c>
      <c r="E98">
        <v>0.5</v>
      </c>
      <c r="F98">
        <v>7.98</v>
      </c>
      <c r="G98">
        <v>7.56</v>
      </c>
      <c r="H98">
        <v>26.06</v>
      </c>
      <c r="I98">
        <f t="shared" ref="I98:I99" si="106">SUM(B98:H98)</f>
        <v>51.47</v>
      </c>
    </row>
    <row r="99" spans="1:9" x14ac:dyDescent="0.45">
      <c r="A99">
        <v>3</v>
      </c>
      <c r="B99">
        <v>0.3</v>
      </c>
      <c r="C99">
        <v>2.12</v>
      </c>
      <c r="D99">
        <v>0.5</v>
      </c>
      <c r="E99">
        <v>0.18</v>
      </c>
      <c r="F99">
        <v>0.24</v>
      </c>
      <c r="G99">
        <v>0.42</v>
      </c>
      <c r="H99">
        <v>0.72</v>
      </c>
      <c r="I99">
        <f t="shared" si="106"/>
        <v>4.4799999999999995</v>
      </c>
    </row>
    <row r="100" spans="1:9" x14ac:dyDescent="0.45">
      <c r="A100" t="s">
        <v>10</v>
      </c>
      <c r="B100" s="1">
        <f>AVERAGE(B97:B99)</f>
        <v>4.3833333333333337</v>
      </c>
      <c r="C100" s="1">
        <f t="shared" ref="C100" si="107">AVERAGE(C97:C99)</f>
        <v>2.7833333333333337</v>
      </c>
      <c r="D100" s="1">
        <f t="shared" ref="D100" si="108">AVERAGE(D97:D99)</f>
        <v>1.2333333333333334</v>
      </c>
      <c r="E100" s="1">
        <f t="shared" ref="E100" si="109">AVERAGE(E97:E99)</f>
        <v>0.44</v>
      </c>
      <c r="F100" s="1">
        <f t="shared" ref="F100" si="110">AVERAGE(F97:F99)</f>
        <v>6.5966666666666667</v>
      </c>
      <c r="G100" s="1">
        <f t="shared" ref="G100" si="111">AVERAGE(G97:G99)</f>
        <v>4.9399999999999995</v>
      </c>
      <c r="H100" s="1">
        <f t="shared" ref="H100" si="112">AVERAGE(H97:H99)</f>
        <v>18.559999999999999</v>
      </c>
      <c r="I100" s="1">
        <f t="shared" ref="I100" si="113">AVERAGE(I97:I99)</f>
        <v>38.936666666666667</v>
      </c>
    </row>
    <row r="101" spans="1:9" x14ac:dyDescent="0.45">
      <c r="A101" t="s">
        <v>11</v>
      </c>
      <c r="B101" s="1">
        <f>_xlfn.STDEV.S(B97:B99)</f>
        <v>4.0651240243482523</v>
      </c>
      <c r="C101" s="1">
        <f t="shared" ref="C101:I101" si="114">_xlfn.STDEV.S(C97:C99)</f>
        <v>0.58790588816011347</v>
      </c>
      <c r="D101" s="1">
        <f t="shared" si="114"/>
        <v>0.73002283069321416</v>
      </c>
      <c r="E101" s="1">
        <f t="shared" si="114"/>
        <v>0.23579652245103178</v>
      </c>
      <c r="F101" s="1">
        <f t="shared" si="114"/>
        <v>5.7902878454644497</v>
      </c>
      <c r="G101" s="1">
        <f t="shared" si="114"/>
        <v>3.9309540826623763</v>
      </c>
      <c r="H101" s="1">
        <f t="shared" si="114"/>
        <v>15.515012085074252</v>
      </c>
      <c r="I101" s="1">
        <f>_xlfn.STDEV.S(I97:I99)</f>
        <v>30.207440032768968</v>
      </c>
    </row>
    <row r="114" spans="1:19" x14ac:dyDescent="0.45">
      <c r="A114" t="s">
        <v>33</v>
      </c>
      <c r="K114" t="s">
        <v>35</v>
      </c>
    </row>
    <row r="115" spans="1:19" x14ac:dyDescent="0.45">
      <c r="A115" t="s">
        <v>14</v>
      </c>
      <c r="B115" t="s">
        <v>1</v>
      </c>
      <c r="C115" t="s">
        <v>3</v>
      </c>
      <c r="D115" t="s">
        <v>4</v>
      </c>
      <c r="E115" t="s">
        <v>5</v>
      </c>
      <c r="F115" t="s">
        <v>6</v>
      </c>
      <c r="G115" t="s">
        <v>7</v>
      </c>
      <c r="H115" t="s">
        <v>8</v>
      </c>
      <c r="I115" t="s">
        <v>9</v>
      </c>
      <c r="K115" t="s">
        <v>0</v>
      </c>
      <c r="L115" t="s">
        <v>1</v>
      </c>
      <c r="M115" t="s">
        <v>3</v>
      </c>
      <c r="N115" t="s">
        <v>4</v>
      </c>
      <c r="O115" t="s">
        <v>5</v>
      </c>
      <c r="P115" t="s">
        <v>6</v>
      </c>
      <c r="Q115" t="s">
        <v>7</v>
      </c>
      <c r="R115" t="s">
        <v>8</v>
      </c>
      <c r="S115" t="s">
        <v>9</v>
      </c>
    </row>
    <row r="116" spans="1:19" x14ac:dyDescent="0.45">
      <c r="A116">
        <v>1</v>
      </c>
      <c r="B116">
        <v>10.45</v>
      </c>
      <c r="C116">
        <v>7.49</v>
      </c>
      <c r="D116">
        <v>1.41</v>
      </c>
      <c r="E116">
        <v>1.1299999999999999</v>
      </c>
      <c r="F116">
        <v>8.76</v>
      </c>
      <c r="G116">
        <v>10.37</v>
      </c>
      <c r="H116">
        <v>29</v>
      </c>
      <c r="I116">
        <f>SUM(B116:H116)</f>
        <v>68.609999999999985</v>
      </c>
      <c r="K116">
        <v>1</v>
      </c>
      <c r="L116" s="1">
        <f>AVERAGE(B116:B120)</f>
        <v>9.1879999999999988</v>
      </c>
      <c r="M116" s="1">
        <f t="shared" ref="M116:S116" si="115">AVERAGE(C116:C120)</f>
        <v>4.6119999999999992</v>
      </c>
      <c r="N116" s="1">
        <f t="shared" si="115"/>
        <v>1.0820000000000001</v>
      </c>
      <c r="O116" s="1">
        <f t="shared" si="115"/>
        <v>0.8879999999999999</v>
      </c>
      <c r="P116" s="1">
        <f t="shared" si="115"/>
        <v>10.681999999999999</v>
      </c>
      <c r="Q116" s="1">
        <f t="shared" si="115"/>
        <v>9.8699999999999974</v>
      </c>
      <c r="R116" s="1">
        <f t="shared" si="115"/>
        <v>22.720000000000002</v>
      </c>
      <c r="S116" s="1">
        <f t="shared" si="115"/>
        <v>59.042000000000009</v>
      </c>
    </row>
    <row r="117" spans="1:19" x14ac:dyDescent="0.45">
      <c r="A117">
        <v>2</v>
      </c>
      <c r="B117">
        <v>15.98</v>
      </c>
      <c r="C117">
        <v>5.0199999999999996</v>
      </c>
      <c r="D117">
        <v>1.4</v>
      </c>
      <c r="E117">
        <v>0.92</v>
      </c>
      <c r="F117">
        <v>10.51</v>
      </c>
      <c r="G117">
        <v>15.61</v>
      </c>
      <c r="H117">
        <v>35.520000000000003</v>
      </c>
      <c r="I117">
        <f t="shared" ref="I117:I120" si="116">SUM(B117:H117)</f>
        <v>84.960000000000008</v>
      </c>
      <c r="K117">
        <v>2</v>
      </c>
      <c r="L117" s="1">
        <f>AVERAGE(B126:B130)</f>
        <v>10.598000000000001</v>
      </c>
      <c r="M117" s="1">
        <f t="shared" ref="M117:S117" si="117">AVERAGE(C126:C130)</f>
        <v>2.5760000000000001</v>
      </c>
      <c r="N117" s="1">
        <f t="shared" si="117"/>
        <v>1.4220000000000002</v>
      </c>
      <c r="O117" s="1">
        <f t="shared" si="117"/>
        <v>0.752</v>
      </c>
      <c r="P117" s="1">
        <f t="shared" si="117"/>
        <v>15.448000000000002</v>
      </c>
      <c r="Q117" s="1">
        <f t="shared" si="117"/>
        <v>9.7360000000000007</v>
      </c>
      <c r="R117" s="1">
        <f t="shared" si="117"/>
        <v>42.410000000000004</v>
      </c>
      <c r="S117" s="1">
        <f t="shared" si="117"/>
        <v>82.941999999999993</v>
      </c>
    </row>
    <row r="118" spans="1:19" x14ac:dyDescent="0.45">
      <c r="A118">
        <v>3</v>
      </c>
      <c r="B118">
        <v>11.04</v>
      </c>
      <c r="C118">
        <v>3.57</v>
      </c>
      <c r="D118">
        <v>0.87</v>
      </c>
      <c r="E118">
        <v>1.38</v>
      </c>
      <c r="F118">
        <v>23.22</v>
      </c>
      <c r="G118">
        <v>10.59</v>
      </c>
      <c r="H118">
        <v>25.07</v>
      </c>
      <c r="I118">
        <f t="shared" si="116"/>
        <v>75.740000000000009</v>
      </c>
      <c r="L118" s="1"/>
      <c r="M118" s="1"/>
      <c r="N118" s="1"/>
      <c r="O118" s="1"/>
      <c r="P118" s="1"/>
      <c r="Q118" s="1"/>
      <c r="R118" s="1"/>
      <c r="S118" s="1"/>
    </row>
    <row r="119" spans="1:19" x14ac:dyDescent="0.45">
      <c r="A119">
        <v>4</v>
      </c>
      <c r="B119">
        <v>7.46</v>
      </c>
      <c r="C119">
        <v>4.97</v>
      </c>
      <c r="D119">
        <v>0.87</v>
      </c>
      <c r="E119">
        <v>0.74</v>
      </c>
      <c r="F119">
        <v>6.92</v>
      </c>
      <c r="G119">
        <v>9.16</v>
      </c>
      <c r="H119">
        <v>20.11</v>
      </c>
      <c r="I119">
        <f t="shared" si="116"/>
        <v>50.230000000000004</v>
      </c>
    </row>
    <row r="120" spans="1:19" x14ac:dyDescent="0.45">
      <c r="A120">
        <v>5</v>
      </c>
      <c r="B120">
        <v>1.01</v>
      </c>
      <c r="C120">
        <v>2.0099999999999998</v>
      </c>
      <c r="D120">
        <v>0.86</v>
      </c>
      <c r="E120">
        <v>0.27</v>
      </c>
      <c r="F120">
        <v>4</v>
      </c>
      <c r="G120">
        <v>3.62</v>
      </c>
      <c r="H120">
        <v>3.9</v>
      </c>
      <c r="I120">
        <f t="shared" si="116"/>
        <v>15.67</v>
      </c>
    </row>
    <row r="121" spans="1:19" x14ac:dyDescent="0.45">
      <c r="A121" t="s">
        <v>10</v>
      </c>
      <c r="B121" s="1">
        <f>AVERAGE(B116:B120)</f>
        <v>9.1879999999999988</v>
      </c>
      <c r="C121" s="1">
        <f t="shared" ref="C121:I121" si="118">AVERAGE(C116:C120)</f>
        <v>4.6119999999999992</v>
      </c>
      <c r="D121" s="1">
        <f t="shared" si="118"/>
        <v>1.0820000000000001</v>
      </c>
      <c r="E121" s="1">
        <f t="shared" si="118"/>
        <v>0.8879999999999999</v>
      </c>
      <c r="F121" s="1">
        <f t="shared" si="118"/>
        <v>10.681999999999999</v>
      </c>
      <c r="G121" s="1">
        <f t="shared" si="118"/>
        <v>9.8699999999999974</v>
      </c>
      <c r="H121" s="1">
        <f t="shared" si="118"/>
        <v>22.720000000000002</v>
      </c>
      <c r="I121" s="1">
        <f t="shared" si="118"/>
        <v>59.042000000000009</v>
      </c>
      <c r="K121" t="s">
        <v>36</v>
      </c>
    </row>
    <row r="122" spans="1:19" x14ac:dyDescent="0.45">
      <c r="A122" t="s">
        <v>11</v>
      </c>
      <c r="B122" s="1">
        <f>_xlfn.STDEV.S(B116:B120)</f>
        <v>5.5004427094553048</v>
      </c>
      <c r="C122" s="1">
        <f t="shared" ref="C122:I122" si="119">_xlfn.STDEV.S(C116:C120)</f>
        <v>2.0269237775506039</v>
      </c>
      <c r="D122" s="1">
        <f t="shared" si="119"/>
        <v>0.29490676492749324</v>
      </c>
      <c r="E122" s="1">
        <f t="shared" si="119"/>
        <v>0.41996428419569209</v>
      </c>
      <c r="F122" s="1">
        <f t="shared" si="119"/>
        <v>7.411593620807877</v>
      </c>
      <c r="G122" s="1">
        <f t="shared" si="119"/>
        <v>4.280262842396489</v>
      </c>
      <c r="H122" s="1">
        <f t="shared" si="119"/>
        <v>11.935298488098226</v>
      </c>
      <c r="I122" s="1">
        <f t="shared" si="119"/>
        <v>27.390209382186168</v>
      </c>
      <c r="K122" t="s">
        <v>0</v>
      </c>
      <c r="L122" t="s">
        <v>1</v>
      </c>
      <c r="M122" t="s">
        <v>3</v>
      </c>
      <c r="N122" t="s">
        <v>4</v>
      </c>
      <c r="O122" t="s">
        <v>5</v>
      </c>
      <c r="P122" t="s">
        <v>6</v>
      </c>
      <c r="Q122" t="s">
        <v>7</v>
      </c>
      <c r="R122" t="s">
        <v>8</v>
      </c>
      <c r="S122" t="s">
        <v>9</v>
      </c>
    </row>
    <row r="123" spans="1:19" x14ac:dyDescent="0.45">
      <c r="K123">
        <v>1</v>
      </c>
      <c r="L123" s="1">
        <f>AVERAGE(B137:B141)</f>
        <v>12.34</v>
      </c>
      <c r="M123" s="1">
        <f t="shared" ref="M123:S123" si="120">AVERAGE(C137:C141)</f>
        <v>18.318000000000001</v>
      </c>
      <c r="N123" s="1">
        <f t="shared" si="120"/>
        <v>2.8180000000000001</v>
      </c>
      <c r="O123" s="1">
        <f t="shared" si="120"/>
        <v>0.39400000000000002</v>
      </c>
      <c r="P123" s="1">
        <f t="shared" si="120"/>
        <v>8.5579999999999998</v>
      </c>
      <c r="Q123" s="1">
        <f t="shared" si="120"/>
        <v>11.040000000000001</v>
      </c>
      <c r="R123" s="1">
        <f t="shared" si="120"/>
        <v>43.15</v>
      </c>
      <c r="S123" s="1">
        <f t="shared" si="120"/>
        <v>96.617999999999995</v>
      </c>
    </row>
    <row r="124" spans="1:19" x14ac:dyDescent="0.45">
      <c r="A124" t="s">
        <v>34</v>
      </c>
      <c r="K124">
        <v>2</v>
      </c>
      <c r="L124" s="1">
        <f>AVERAGE(B147:B151)</f>
        <v>13.902000000000001</v>
      </c>
      <c r="M124" s="1">
        <f t="shared" ref="M124:S124" si="121">AVERAGE(C147:C151)</f>
        <v>13.961999999999998</v>
      </c>
      <c r="N124" s="1">
        <f t="shared" si="121"/>
        <v>1.532</v>
      </c>
      <c r="O124" s="1">
        <f t="shared" si="121"/>
        <v>0.42000000000000004</v>
      </c>
      <c r="P124" s="1">
        <f t="shared" si="121"/>
        <v>19.916</v>
      </c>
      <c r="Q124" s="1">
        <f t="shared" si="121"/>
        <v>12.052</v>
      </c>
      <c r="R124" s="1">
        <f t="shared" si="121"/>
        <v>35.396000000000001</v>
      </c>
      <c r="S124" s="1">
        <f t="shared" si="121"/>
        <v>97.18</v>
      </c>
    </row>
    <row r="125" spans="1:19" x14ac:dyDescent="0.45">
      <c r="A125" t="s">
        <v>14</v>
      </c>
      <c r="B125" t="s">
        <v>1</v>
      </c>
      <c r="C125" t="s">
        <v>3</v>
      </c>
      <c r="D125" t="s">
        <v>4</v>
      </c>
      <c r="E125" t="s">
        <v>5</v>
      </c>
      <c r="F125" t="s">
        <v>6</v>
      </c>
      <c r="G125" t="s">
        <v>7</v>
      </c>
      <c r="H125" t="s">
        <v>8</v>
      </c>
      <c r="I125" t="s">
        <v>9</v>
      </c>
      <c r="L125" s="1"/>
      <c r="M125" s="1"/>
      <c r="N125" s="1"/>
      <c r="O125" s="1"/>
      <c r="P125" s="1"/>
      <c r="Q125" s="1"/>
      <c r="R125" s="1"/>
      <c r="S125" s="1"/>
    </row>
    <row r="126" spans="1:19" x14ac:dyDescent="0.45">
      <c r="A126">
        <v>1</v>
      </c>
      <c r="B126">
        <v>5.77</v>
      </c>
      <c r="C126">
        <v>2.0299999999999998</v>
      </c>
      <c r="D126">
        <v>0.84</v>
      </c>
      <c r="E126">
        <v>0.63</v>
      </c>
      <c r="F126">
        <v>7.78</v>
      </c>
      <c r="G126">
        <v>8.0299999999999994</v>
      </c>
      <c r="H126">
        <v>46.31</v>
      </c>
      <c r="I126">
        <f>SUM(B126:H126)</f>
        <v>71.39</v>
      </c>
    </row>
    <row r="127" spans="1:19" x14ac:dyDescent="0.45">
      <c r="A127">
        <v>2</v>
      </c>
      <c r="B127">
        <v>3.08</v>
      </c>
      <c r="C127">
        <v>2.56</v>
      </c>
      <c r="D127">
        <v>1.46</v>
      </c>
      <c r="E127">
        <v>0.4</v>
      </c>
      <c r="F127">
        <v>9.9</v>
      </c>
      <c r="G127">
        <v>8.06</v>
      </c>
      <c r="H127">
        <v>19.59</v>
      </c>
      <c r="I127">
        <f t="shared" ref="I127:I130" si="122">SUM(B127:H127)</f>
        <v>45.05</v>
      </c>
    </row>
    <row r="128" spans="1:19" x14ac:dyDescent="0.45">
      <c r="A128">
        <v>3</v>
      </c>
      <c r="B128">
        <v>15.3</v>
      </c>
      <c r="C128">
        <v>2.5499999999999998</v>
      </c>
      <c r="D128">
        <v>1.1000000000000001</v>
      </c>
      <c r="E128">
        <v>0.81</v>
      </c>
      <c r="F128">
        <v>16.97</v>
      </c>
      <c r="G128">
        <v>12.81</v>
      </c>
      <c r="H128">
        <v>52.87</v>
      </c>
      <c r="I128">
        <f t="shared" si="122"/>
        <v>102.41</v>
      </c>
    </row>
    <row r="129" spans="1:9" x14ac:dyDescent="0.45">
      <c r="A129">
        <v>4</v>
      </c>
      <c r="B129">
        <v>12.42</v>
      </c>
      <c r="C129">
        <v>1.75</v>
      </c>
      <c r="D129">
        <v>1.75</v>
      </c>
      <c r="E129">
        <v>0.97</v>
      </c>
      <c r="F129">
        <v>18.8</v>
      </c>
      <c r="G129">
        <v>9.42</v>
      </c>
      <c r="H129">
        <v>38.69</v>
      </c>
      <c r="I129">
        <f t="shared" si="122"/>
        <v>83.8</v>
      </c>
    </row>
    <row r="130" spans="1:9" x14ac:dyDescent="0.45">
      <c r="A130">
        <v>5</v>
      </c>
      <c r="B130">
        <v>16.420000000000002</v>
      </c>
      <c r="C130">
        <v>3.99</v>
      </c>
      <c r="D130">
        <v>1.96</v>
      </c>
      <c r="E130">
        <v>0.95</v>
      </c>
      <c r="F130">
        <v>23.79</v>
      </c>
      <c r="G130">
        <v>10.36</v>
      </c>
      <c r="H130">
        <v>54.59</v>
      </c>
      <c r="I130">
        <f t="shared" si="122"/>
        <v>112.06</v>
      </c>
    </row>
    <row r="131" spans="1:9" x14ac:dyDescent="0.45">
      <c r="A131" t="s">
        <v>10</v>
      </c>
      <c r="B131" s="1">
        <f>AVERAGE(B126:B130)</f>
        <v>10.598000000000001</v>
      </c>
      <c r="C131" s="1">
        <f t="shared" ref="C131:I131" si="123">AVERAGE(C126:C130)</f>
        <v>2.5760000000000001</v>
      </c>
      <c r="D131" s="1">
        <f t="shared" si="123"/>
        <v>1.4220000000000002</v>
      </c>
      <c r="E131" s="1">
        <f t="shared" si="123"/>
        <v>0.752</v>
      </c>
      <c r="F131" s="1">
        <f t="shared" si="123"/>
        <v>15.448000000000002</v>
      </c>
      <c r="G131" s="1">
        <f t="shared" si="123"/>
        <v>9.7360000000000007</v>
      </c>
      <c r="H131" s="1">
        <f t="shared" si="123"/>
        <v>42.410000000000004</v>
      </c>
      <c r="I131" s="1">
        <f t="shared" si="123"/>
        <v>82.941999999999993</v>
      </c>
    </row>
    <row r="132" spans="1:9" x14ac:dyDescent="0.45">
      <c r="A132" t="s">
        <v>11</v>
      </c>
      <c r="B132" s="1">
        <f>_xlfn.STDEV.S(B126:B130)</f>
        <v>5.8981793801138336</v>
      </c>
      <c r="C132" s="1">
        <f t="shared" ref="C132:I132" si="124">_xlfn.STDEV.S(C126:C130)</f>
        <v>0.86323808998444784</v>
      </c>
      <c r="D132" s="1">
        <f t="shared" si="124"/>
        <v>0.45849754634021722</v>
      </c>
      <c r="E132" s="1">
        <f t="shared" si="124"/>
        <v>0.23920702330826335</v>
      </c>
      <c r="F132" s="1">
        <f t="shared" si="124"/>
        <v>6.571146779672473</v>
      </c>
      <c r="G132" s="1">
        <f t="shared" si="124"/>
        <v>1.978517121482652</v>
      </c>
      <c r="H132" s="1">
        <f t="shared" si="124"/>
        <v>14.208842317374065</v>
      </c>
      <c r="I132" s="1">
        <f t="shared" si="124"/>
        <v>26.442624113351556</v>
      </c>
    </row>
    <row r="135" spans="1:9" x14ac:dyDescent="0.45">
      <c r="A135" t="s">
        <v>37</v>
      </c>
    </row>
    <row r="136" spans="1:9" x14ac:dyDescent="0.45">
      <c r="A136" t="s">
        <v>14</v>
      </c>
      <c r="B136" t="s">
        <v>1</v>
      </c>
      <c r="C136" t="s">
        <v>3</v>
      </c>
      <c r="D136" t="s">
        <v>4</v>
      </c>
      <c r="E136" t="s">
        <v>5</v>
      </c>
      <c r="F136" t="s">
        <v>6</v>
      </c>
      <c r="G136" t="s">
        <v>7</v>
      </c>
      <c r="H136" t="s">
        <v>8</v>
      </c>
      <c r="I136" t="s">
        <v>9</v>
      </c>
    </row>
    <row r="137" spans="1:9" x14ac:dyDescent="0.45">
      <c r="A137">
        <v>1</v>
      </c>
      <c r="B137">
        <v>0.41</v>
      </c>
      <c r="C137">
        <v>5.0999999999999996</v>
      </c>
      <c r="D137">
        <v>1.1000000000000001</v>
      </c>
      <c r="E137">
        <v>0.18</v>
      </c>
      <c r="F137">
        <v>16.28</v>
      </c>
      <c r="G137">
        <v>10.199999999999999</v>
      </c>
      <c r="H137">
        <v>51.29</v>
      </c>
      <c r="I137">
        <f>SUM(B137:H137)</f>
        <v>84.56</v>
      </c>
    </row>
    <row r="138" spans="1:9" x14ac:dyDescent="0.45">
      <c r="A138">
        <v>2</v>
      </c>
      <c r="B138">
        <v>38.909999999999997</v>
      </c>
      <c r="C138">
        <v>14.78</v>
      </c>
      <c r="D138">
        <v>1.2</v>
      </c>
      <c r="E138">
        <v>0.33</v>
      </c>
      <c r="F138">
        <v>2.7</v>
      </c>
      <c r="G138">
        <v>24.35</v>
      </c>
      <c r="H138">
        <v>51.61</v>
      </c>
      <c r="I138">
        <f t="shared" ref="I138:I141" si="125">SUM(B138:H138)</f>
        <v>133.88</v>
      </c>
    </row>
    <row r="139" spans="1:9" x14ac:dyDescent="0.45">
      <c r="A139">
        <v>3</v>
      </c>
      <c r="B139">
        <v>5.86</v>
      </c>
      <c r="C139">
        <v>64.89</v>
      </c>
      <c r="D139">
        <v>0.76</v>
      </c>
      <c r="E139">
        <v>0.27</v>
      </c>
      <c r="F139">
        <v>2.83</v>
      </c>
      <c r="G139">
        <v>6.31</v>
      </c>
      <c r="H139">
        <v>49.04</v>
      </c>
      <c r="I139">
        <f t="shared" si="125"/>
        <v>129.96</v>
      </c>
    </row>
    <row r="140" spans="1:9" x14ac:dyDescent="0.45">
      <c r="A140">
        <v>4</v>
      </c>
      <c r="B140">
        <v>16.2</v>
      </c>
      <c r="C140">
        <v>4.28</v>
      </c>
      <c r="D140">
        <v>10.46</v>
      </c>
      <c r="E140">
        <v>1.04</v>
      </c>
      <c r="F140">
        <v>20.72</v>
      </c>
      <c r="G140">
        <v>13.06</v>
      </c>
      <c r="H140">
        <v>54.68</v>
      </c>
      <c r="I140">
        <f t="shared" si="125"/>
        <v>120.44</v>
      </c>
    </row>
    <row r="141" spans="1:9" x14ac:dyDescent="0.45">
      <c r="A141">
        <v>5</v>
      </c>
      <c r="B141">
        <v>0.32</v>
      </c>
      <c r="C141">
        <v>2.54</v>
      </c>
      <c r="D141">
        <v>0.56999999999999995</v>
      </c>
      <c r="E141">
        <v>0.15</v>
      </c>
      <c r="F141">
        <v>0.26</v>
      </c>
      <c r="G141">
        <v>1.28</v>
      </c>
      <c r="H141">
        <v>9.1300000000000008</v>
      </c>
      <c r="I141">
        <f t="shared" si="125"/>
        <v>14.25</v>
      </c>
    </row>
    <row r="142" spans="1:9" x14ac:dyDescent="0.45">
      <c r="A142" t="s">
        <v>10</v>
      </c>
      <c r="B142" s="1">
        <f>AVERAGE(B137:B141)</f>
        <v>12.34</v>
      </c>
      <c r="C142" s="1">
        <f t="shared" ref="C142" si="126">AVERAGE(C137:C141)</f>
        <v>18.318000000000001</v>
      </c>
      <c r="D142" s="1">
        <f t="shared" ref="D142" si="127">AVERAGE(D137:D141)</f>
        <v>2.8180000000000001</v>
      </c>
      <c r="E142" s="1">
        <f t="shared" ref="E142" si="128">AVERAGE(E137:E141)</f>
        <v>0.39400000000000002</v>
      </c>
      <c r="F142" s="1">
        <f t="shared" ref="F142" si="129">AVERAGE(F137:F141)</f>
        <v>8.5579999999999998</v>
      </c>
      <c r="G142" s="1">
        <f t="shared" ref="G142" si="130">AVERAGE(G137:G141)</f>
        <v>11.040000000000001</v>
      </c>
      <c r="H142" s="1">
        <f t="shared" ref="H142" si="131">AVERAGE(H137:H141)</f>
        <v>43.15</v>
      </c>
      <c r="I142" s="1">
        <f t="shared" ref="I142" si="132">AVERAGE(I137:I141)</f>
        <v>96.617999999999995</v>
      </c>
    </row>
    <row r="143" spans="1:9" x14ac:dyDescent="0.45">
      <c r="A143" t="s">
        <v>11</v>
      </c>
      <c r="B143" s="1">
        <f>_xlfn.STDEV.S(B137:B141)</f>
        <v>16.199229919968417</v>
      </c>
      <c r="C143" s="1">
        <f t="shared" ref="C143:I143" si="133">_xlfn.STDEV.S(C137:C141)</f>
        <v>26.467880912532461</v>
      </c>
      <c r="D143" s="1">
        <f t="shared" si="133"/>
        <v>4.2795583884321529</v>
      </c>
      <c r="E143" s="1">
        <f t="shared" si="133"/>
        <v>0.36814399356773431</v>
      </c>
      <c r="F143" s="1">
        <f t="shared" si="133"/>
        <v>9.2672336756984812</v>
      </c>
      <c r="G143" s="1">
        <f t="shared" si="133"/>
        <v>8.6540828514638104</v>
      </c>
      <c r="H143" s="1">
        <f t="shared" si="133"/>
        <v>19.123445034825718</v>
      </c>
      <c r="I143" s="1">
        <f t="shared" si="133"/>
        <v>49.99378981433594</v>
      </c>
    </row>
    <row r="145" spans="1:9" x14ac:dyDescent="0.45">
      <c r="A145" t="s">
        <v>38</v>
      </c>
    </row>
    <row r="146" spans="1:9" x14ac:dyDescent="0.45">
      <c r="A146" t="s">
        <v>14</v>
      </c>
      <c r="B146" t="s">
        <v>1</v>
      </c>
      <c r="C146" t="s">
        <v>3</v>
      </c>
      <c r="D146" t="s">
        <v>4</v>
      </c>
      <c r="E146" t="s">
        <v>5</v>
      </c>
      <c r="F146" t="s">
        <v>6</v>
      </c>
      <c r="G146" t="s">
        <v>7</v>
      </c>
      <c r="H146" t="s">
        <v>8</v>
      </c>
      <c r="I146" t="s">
        <v>9</v>
      </c>
    </row>
    <row r="147" spans="1:9" x14ac:dyDescent="0.45">
      <c r="A147">
        <v>1</v>
      </c>
      <c r="B147">
        <v>0.18</v>
      </c>
      <c r="C147">
        <v>0.91</v>
      </c>
      <c r="D147">
        <v>0.5</v>
      </c>
      <c r="E147">
        <v>7.0000000000000007E-2</v>
      </c>
      <c r="F147">
        <v>4.82</v>
      </c>
      <c r="G147">
        <v>1.94</v>
      </c>
      <c r="H147">
        <v>12.12</v>
      </c>
      <c r="I147">
        <f>SUM(B147:H147)</f>
        <v>20.54</v>
      </c>
    </row>
    <row r="148" spans="1:9" x14ac:dyDescent="0.45">
      <c r="A148">
        <v>2</v>
      </c>
      <c r="B148">
        <v>26.1</v>
      </c>
      <c r="C148">
        <v>8.42</v>
      </c>
      <c r="D148">
        <v>1.56</v>
      </c>
      <c r="E148">
        <v>0.47</v>
      </c>
      <c r="F148">
        <v>12.93</v>
      </c>
      <c r="G148">
        <v>35.97</v>
      </c>
      <c r="H148">
        <v>52.04</v>
      </c>
      <c r="I148">
        <f t="shared" ref="I148:I151" si="134">SUM(B148:H148)</f>
        <v>137.49</v>
      </c>
    </row>
    <row r="149" spans="1:9" x14ac:dyDescent="0.45">
      <c r="A149">
        <v>3</v>
      </c>
      <c r="B149">
        <v>25.65</v>
      </c>
      <c r="C149">
        <v>14.54</v>
      </c>
      <c r="D149">
        <v>3.89</v>
      </c>
      <c r="E149">
        <v>0.83</v>
      </c>
      <c r="F149">
        <v>21.55</v>
      </c>
      <c r="G149">
        <v>12.03</v>
      </c>
      <c r="H149">
        <v>49.21</v>
      </c>
      <c r="I149">
        <f t="shared" si="134"/>
        <v>127.69999999999999</v>
      </c>
    </row>
    <row r="150" spans="1:9" x14ac:dyDescent="0.45">
      <c r="A150">
        <v>4</v>
      </c>
      <c r="B150">
        <v>11.21</v>
      </c>
      <c r="C150">
        <v>45.05</v>
      </c>
      <c r="D150">
        <v>0.95</v>
      </c>
      <c r="E150">
        <v>0.65</v>
      </c>
      <c r="F150">
        <v>54.92</v>
      </c>
      <c r="G150">
        <v>8.4499999999999993</v>
      </c>
      <c r="H150">
        <v>52.74</v>
      </c>
      <c r="I150">
        <f t="shared" si="134"/>
        <v>173.97</v>
      </c>
    </row>
    <row r="151" spans="1:9" x14ac:dyDescent="0.45">
      <c r="A151">
        <v>5</v>
      </c>
      <c r="B151">
        <v>6.37</v>
      </c>
      <c r="C151">
        <v>0.89</v>
      </c>
      <c r="D151">
        <v>0.76</v>
      </c>
      <c r="E151">
        <v>0.08</v>
      </c>
      <c r="F151">
        <v>5.36</v>
      </c>
      <c r="G151">
        <v>1.87</v>
      </c>
      <c r="H151">
        <v>10.87</v>
      </c>
      <c r="I151">
        <f t="shared" si="134"/>
        <v>26.200000000000003</v>
      </c>
    </row>
    <row r="152" spans="1:9" x14ac:dyDescent="0.45">
      <c r="A152" t="s">
        <v>10</v>
      </c>
      <c r="B152" s="1">
        <f>AVERAGE(B147:B151)</f>
        <v>13.902000000000001</v>
      </c>
      <c r="C152" s="1">
        <f t="shared" ref="C152" si="135">AVERAGE(C147:C151)</f>
        <v>13.961999999999998</v>
      </c>
      <c r="D152" s="1">
        <f t="shared" ref="D152" si="136">AVERAGE(D147:D151)</f>
        <v>1.532</v>
      </c>
      <c r="E152" s="1">
        <f t="shared" ref="E152" si="137">AVERAGE(E147:E151)</f>
        <v>0.42000000000000004</v>
      </c>
      <c r="F152" s="1">
        <f t="shared" ref="F152" si="138">AVERAGE(F147:F151)</f>
        <v>19.916</v>
      </c>
      <c r="G152" s="1">
        <f t="shared" ref="G152" si="139">AVERAGE(G147:G151)</f>
        <v>12.052</v>
      </c>
      <c r="H152" s="1">
        <f t="shared" ref="H152" si="140">AVERAGE(H147:H151)</f>
        <v>35.396000000000001</v>
      </c>
      <c r="I152" s="1">
        <f t="shared" ref="I152" si="141">AVERAGE(I147:I151)</f>
        <v>97.18</v>
      </c>
    </row>
    <row r="153" spans="1:9" x14ac:dyDescent="0.45">
      <c r="A153" t="s">
        <v>11</v>
      </c>
      <c r="B153" s="1">
        <f>_xlfn.STDEV.S(B147:B151)</f>
        <v>11.609025368221053</v>
      </c>
      <c r="C153" s="1">
        <f t="shared" ref="C153:I153" si="142">_xlfn.STDEV.S(C147:C151)</f>
        <v>18.294421827431446</v>
      </c>
      <c r="D153" s="1">
        <f t="shared" si="142"/>
        <v>1.3748345354987268</v>
      </c>
      <c r="E153" s="1">
        <f t="shared" si="142"/>
        <v>0.33970575502926054</v>
      </c>
      <c r="F153" s="1">
        <f t="shared" si="142"/>
        <v>20.71545630682559</v>
      </c>
      <c r="G153" s="1">
        <f t="shared" si="142"/>
        <v>14.062105816697583</v>
      </c>
      <c r="H153" s="1">
        <f t="shared" si="142"/>
        <v>21.862985386264146</v>
      </c>
      <c r="I153" s="1">
        <f t="shared" si="142"/>
        <v>69.578949043514584</v>
      </c>
    </row>
  </sheetData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C239EE8A79040BAB72712275105B3" ma:contentTypeVersion="18" ma:contentTypeDescription="Create a new document." ma:contentTypeScope="" ma:versionID="649c75f8162fe68ffe2c4a97414e0a85">
  <xsd:schema xmlns:xsd="http://www.w3.org/2001/XMLSchema" xmlns:xs="http://www.w3.org/2001/XMLSchema" xmlns:p="http://schemas.microsoft.com/office/2006/metadata/properties" xmlns:ns3="6302bbcf-b1ab-4c70-b49b-dd7df70971ee" xmlns:ns4="3d8a9813-cb6d-4591-b480-24c4a2d73e62" targetNamespace="http://schemas.microsoft.com/office/2006/metadata/properties" ma:root="true" ma:fieldsID="5b2030e22ede607a32d17f422d12bfdc" ns3:_="" ns4:_="">
    <xsd:import namespace="6302bbcf-b1ab-4c70-b49b-dd7df70971ee"/>
    <xsd:import namespace="3d8a9813-cb6d-4591-b480-24c4a2d73e6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2bbcf-b1ab-4c70-b49b-dd7df70971e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a9813-cb6d-4591-b480-24c4a2d73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8a9813-cb6d-4591-b480-24c4a2d73e62" xsi:nil="true"/>
  </documentManagement>
</p:properties>
</file>

<file path=customXml/itemProps1.xml><?xml version="1.0" encoding="utf-8"?>
<ds:datastoreItem xmlns:ds="http://schemas.openxmlformats.org/officeDocument/2006/customXml" ds:itemID="{AF5B5C6C-625C-4CCB-8767-4A58284543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2bbcf-b1ab-4c70-b49b-dd7df70971ee"/>
    <ds:schemaRef ds:uri="3d8a9813-cb6d-4591-b480-24c4a2d73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856EB2-9C43-45D9-8037-56FB4E8789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579A0A-7F78-458D-8039-2CB857F6ADB0}">
  <ds:schemaRefs>
    <ds:schemaRef ds:uri="http://schemas.microsoft.com/office/infopath/2007/PartnerControls"/>
    <ds:schemaRef ds:uri="http://www.w3.org/XML/1998/namespace"/>
    <ds:schemaRef ds:uri="http://purl.org/dc/elements/1.1/"/>
    <ds:schemaRef ds:uri="3d8a9813-cb6d-4591-b480-24c4a2d73e62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6302bbcf-b1ab-4c70-b49b-dd7df70971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HEATHER</dc:creator>
  <cp:lastModifiedBy>Nicole HEATHER</cp:lastModifiedBy>
  <dcterms:created xsi:type="dcterms:W3CDTF">2026-04-23T20:35:52Z</dcterms:created>
  <dcterms:modified xsi:type="dcterms:W3CDTF">2026-04-25T01:41:52Z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0x010100BB7C239EE8A79040BAB72712275105B3</vt:lpwstr>
  </property>
</Properties>
</file>